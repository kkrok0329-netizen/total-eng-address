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f2e178094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장주소" sheetId="1" r:id="Rd89bdc9993264e7b"/>
    <x:sheet xmlns:r="http://schemas.openxmlformats.org/officeDocument/2006/relationships" name="AS 1~10" sheetId="2" r:id="R26d67ade210a4354"/>
    <x:sheet xmlns:r="http://schemas.openxmlformats.org/officeDocument/2006/relationships" name="AS 11~20" sheetId="3" r:id="R6a933cd4a22c437c"/>
    <x:sheet xmlns:r="http://schemas.openxmlformats.org/officeDocument/2006/relationships" name="AS 21~30" sheetId="4" r:id="R8b73a350c0c34789"/>
    <x:sheet xmlns:r="http://schemas.openxmlformats.org/officeDocument/2006/relationships" name="AS 31~40" sheetId="5" r:id="R7f316b65024741b0"/>
    <x:sheet xmlns:r="http://schemas.openxmlformats.org/officeDocument/2006/relationships" name="AS 41~50" sheetId="6" r:id="Rf48ecb14829a4619"/>
    <x:sheet xmlns:r="http://schemas.openxmlformats.org/officeDocument/2006/relationships" name="쿠팡 서.경 1~13" sheetId="7" r:id="Ra09f93c628b247c6"/>
    <x:sheet xmlns:r="http://schemas.openxmlformats.org/officeDocument/2006/relationships" name="쿠팡 지방 15~21" sheetId="8" r:id="R8437032fae924735"/>
    <x:sheet xmlns:r="http://schemas.openxmlformats.org/officeDocument/2006/relationships" name="공사" sheetId="9" r:id="R6266a0065f9942a6"/>
    <x:sheet xmlns:r="http://schemas.openxmlformats.org/officeDocument/2006/relationships" name="Sheet1" sheetId="10" r:id="R1a8cf739ad044fac"/>
    <x:sheet xmlns:r="http://schemas.openxmlformats.org/officeDocument/2006/relationships" name="티몬다스&amp;설성목장 Handover건" sheetId="11" r:id="Rdb300fcedee44c5f"/>
  </x:sheets>
</x:workbook>
</file>

<file path=xl/comments1.xml><?xml version="1.0" encoding="utf-8"?>
<x:comments xmlns:x="http://schemas.openxmlformats.org/spreadsheetml/2006/main">
  <x:authors>
    <x:author>JS.KANG</x:author>
  </x:authors>
  <x:commentList>
    <x:comment ref="G42" authorId="0">
      <x:text>
        <x:r>
          <x:t>JS.KANG:
입구에서 직진하여 언덕올라가면 
중간에 흡연부스 있음. 거기 주차하고 그대로 직진해서 들어가면됨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<x:sst xmlns:x="http://schemas.openxmlformats.org/spreadsheetml/2006/main">
  <x:si>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물류센터 A/S 건</x:t>
  </x:si>
  <x:si>
    <x:t xml:space="preserve">Smartsheet 도움말 ➜</x:t>
  </x:si>
  <x:si>
    <x:r>
      <x:rPr>
        <x:sz val="12"/>
        <x:color rgb="FF0B5394"/>
        <x:rFont val="맑은 고딕"/>
        <x:family val="3"/>
      </x:rPr>
      <x:t xml:space="preserve">오른쪽에서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가능한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상태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및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우선순위의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목록을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맞춤설정하면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상태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및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우선순위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열에서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표준화된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값을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사용할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수</x:t>
    </x:r>
    <x:r>
      <x:rPr>
        <x:sz val="12"/>
        <x:color rgb="FF0B5394"/>
        <x:rFont val="Arial"/>
        <x:family val="2"/>
      </x:rPr>
      <x:t xml:space="preserve"> </x:t>
    </x:r>
    <x:r>
      <x:rPr>
        <x:sz val="12"/>
        <x:color rgb="FF0B5394"/>
        <x:rFont val="맑은 고딕"/>
        <x:family val="3"/>
      </x:rPr>
      <x:t xml:space="preserve">있습니다</x:t>
    </x:r>
    <x:r>
      <x:rPr>
        <x:sz val="12"/>
        <x:color rgb="FF0B5394"/>
        <x:rFont val="Arial"/>
        <x:family val="2"/>
      </x:rPr>
      <x:t xml:space="preserve">.</x:t>
    </x:r>
  </x:si>
  <x:si>
    <x:t xml:space="preserve">상태 키</x:t>
  </x:si>
  <x:si>
    <x:t xml:space="preserve">우선순위 키</x:t>
  </x:si>
  <x:si>
    <x:t xml:space="preserve">점검 요청</x:t>
  </x:si>
  <x:si>
    <x:t xml:space="preserve">낮음</x:t>
  </x:si>
  <x:si>
    <x:t xml:space="preserve">프로젝트 세부정보</x:t>
  </x:si>
  <x:si>
    <x:r>
      <x:rPr>
        <x:sz val="8"/>
        <x:color rgb="FF0B5394"/>
        <x:rFont val="맑은 고딕"/>
        <x:family val="3"/>
      </x:rPr>
      <x:t xml:space="preserve">점검</x:t>
    </x:r>
    <x:r>
      <x:rPr>
        <x:sz val="8"/>
        <x:color rgb="FF0B5394"/>
        <x:rFont val="Roboto"/>
      </x:rPr>
      <x:t xml:space="preserve"> </x:t>
    </x:r>
    <x:r>
      <x:rPr>
        <x:sz val="8"/>
        <x:color rgb="FF0B5394"/>
        <x:rFont val="맑은 고딕"/>
        <x:family val="3"/>
      </x:rPr>
      <x:t xml:space="preserve">완료</x:t>
    </x:r>
  </x:si>
  <x:si>
    <x:t xml:space="preserve">보통</x:t>
  </x:si>
  <x:si>
    <x:t xml:space="preserve">상태</x:t>
  </x:si>
  <x:si>
    <x:t xml:space="preserve">우선순위</x:t>
  </x:si>
  <x:si>
    <x:t xml:space="preserve">시작일</x:t>
  </x:si>
  <x:si>
    <x:t xml:space="preserve">종료일(예상)</x:t>
  </x:si>
  <x:si>
    <x:t xml:space="preserve">소요기간</x:t>
  </x:si>
  <x:si>
    <x:t xml:space="preserve">내용</x:t>
  </x:si>
  <x:si>
    <x:t xml:space="preserve">매출</x:t>
  </x:si>
  <x:si>
    <x:t xml:space="preserve">작성자</x:t>
  </x:si>
  <x:si>
    <x:t xml:space="preserve">진행여부</x:t>
  </x:si>
  <x:si>
    <x:r>
      <x:rPr>
        <x:sz val="8"/>
        <x:color rgb="FF0B5394"/>
        <x:rFont val="맑은 고딕"/>
        <x:family val="3"/>
      </x:rPr>
      <x:t xml:space="preserve">진행</x:t>
    </x:r>
    <x:r>
      <x:rPr>
        <x:sz val="8"/>
        <x:color rgb="FF0B5394"/>
        <x:rFont val="Arial"/>
        <x:family val="2"/>
      </x:rPr>
      <x:t xml:space="preserve"> </x:t>
    </x:r>
    <x:r>
      <x:rPr>
        <x:sz val="8"/>
        <x:color rgb="FF0B5394"/>
        <x:rFont val="맑은 고딕"/>
        <x:family val="3"/>
      </x:rPr>
      <x:t xml:space="preserve">중</x:t>
    </x:r>
  </x:si>
  <x:si>
    <x:t xml:space="preserve">높음</x:t>
  </x:si>
  <x:si>
    <x:t xml:space="preserve">안성다이소 / 경기도 안성시 대덕면 소동산길 3-29 </x:t>
  </x:si>
  <x:si>
    <x:t xml:space="preserve">업체 요청</x:t>
  </x:si>
  <x:si>
    <x:t xml:space="preserve">점검 완료</x:t>
  </x:si>
  <x:si>
    <x:t xml:space="preserve">팀내 공유</x:t>
  </x:si>
  <x:si>
    <x:r>
      <x:rPr>
        <x:b/>
        <x:sz val="8"/>
        <x:color rgb="FF0B5394"/>
        <x:rFont val="맑은 고딕"/>
        <x:family val="3"/>
      </x:rPr>
      <x:t xml:space="preserve">진행</x:t>
    </x:r>
    <x:r>
      <x:rPr>
        <x:b/>
        <x:sz val="8"/>
        <x:color rgb="FF0B5394"/>
        <x:rFont val="Roboto"/>
      </x:rPr>
      <x:t xml:space="preserve">여부</x:t>
    </x:r>
  </x:si>
  <x:si>
    <x:t xml:space="preserve">완료</x:t>
  </x:si>
  <x:si>
    <x:r>
      <x:t xml:space="preserve">군포 아이스크림 / 군포 복합화물터미널 I동 / </x:t>
    </x:r>
    <x:r>
      <x:rPr>
        <x:b/>
        <x:sz val="16"/>
        <x:color rgb="FFFF0000"/>
        <x:rFont val="맑은 고딕"/>
        <x:family val="3"/>
      </x:rPr>
      <x:t xml:space="preserve">7층</x:t>
    </x:r>
  </x:si>
  <x:si>
    <x:t xml:space="preserve">미완료</x:t>
  </x:si>
  <x:si>
    <x:t xml:space="preserve">포천 우리도가 / 경기 포천시 군내면 용두로 13-34</x:t>
  </x:si>
  <x:si>
    <x:t xml:space="preserve">태은물류 / 이천시 호법면 이섭천대로 309번길 56-22</x:t>
  </x:si>
  <x:si>
    <x:r>
      <x:t xml:space="preserve">에스터 포뮬러 / 이천시 대월면 양녕로 92 / </x:t>
    </x:r>
    <x:r>
      <x:rPr>
        <x:b/>
        <x:sz val="16"/>
        <x:color rgb="FFFF0000"/>
        <x:rFont val="맑은 고딕"/>
        <x:family val="3"/>
      </x:rPr>
      <x:t xml:space="preserve">3층</x:t>
    </x:r>
  </x:si>
  <x:si>
    <x:t xml:space="preserve">팀프레시 / 처인구 백암면 백봉리 1382-11</x:t>
  </x:si>
  <x:si>
    <x:t xml:space="preserve">올리브영 경산 / 경북 경산시 진량읍 문천리 867</x:t>
  </x:si>
  <x:si>
    <x:r>
      <x:t xml:space="preserve">BGF 대구 / 경북 칠곡군 석적읍 호국로 608 / </x:t>
    </x:r>
    <x:r>
      <x:rPr>
        <x:b/>
        <x:sz val="16"/>
        <x:color rgb="FFFF0000"/>
        <x:rFont val="맑은 고딕"/>
        <x:family val="3"/>
      </x:rPr>
      <x:t xml:space="preserve">1층</x:t>
    </x:r>
  </x:si>
  <x:si>
    <x:r>
      <x:t xml:space="preserve">더캐리 / 파주시 광탄면 부흥로235번길 146 / </x:t>
    </x:r>
    <x:r>
      <x:rPr>
        <x:b/>
        <x:sz val="16"/>
        <x:color rgb="FFFF0000"/>
        <x:rFont val="맑은 고딕"/>
        <x:family val="3"/>
      </x:rPr>
      <x:t xml:space="preserve">젤위에 공장</x:t>
    </x:r>
  </x:si>
  <x:si>
    <x:t xml:space="preserve">AS 요청의 건 / 코텍전자 </x:t>
  </x:si>
  <x:si>
    <x:r>
      <x:t xml:space="preserve">환인제약 / 환인제약 안성공장 / </x:t>
    </x:r>
    <x:r>
      <x:rPr>
        <x:b/>
        <x:sz val="16"/>
        <x:color rgb="FFFF0000"/>
        <x:rFont val="맑은 고딕"/>
        <x:family val="3"/>
      </x:rPr>
      <x:t xml:space="preserve">정문에서 실내화 갈아 신어야함</x:t>
    </x:r>
  </x:si>
  <x:si>
    <x:t xml:space="preserve">덕평 롯데택배 / 덕평로 831-59</x:t>
  </x:si>
  <x:si>
    <x:r>
      <x:t xml:space="preserve">APR / 에스엘물류 평택 석정리 물류센터 / </x:t>
    </x:r>
    <x:r>
      <x:rPr>
        <x:b/>
        <x:sz val="16"/>
        <x:color rgb="FFFF0000"/>
        <x:rFont val="맑은 고딕"/>
        <x:family val="3"/>
      </x:rPr>
      <x:t xml:space="preserve">티맵</x:t>
    </x:r>
  </x:si>
  <x:si>
    <x:r>
      <x:t xml:space="preserve">APR 이전센터 / 평택시 포승읍 석정로 315 / </x:t>
    </x:r>
    <x:r>
      <x:rPr>
        <x:b/>
        <x:sz val="16"/>
        <x:color rgb="FFFF0000"/>
        <x:rFont val="맑은 고딕"/>
        <x:family val="3"/>
      </x:rPr>
      <x:t xml:space="preserve">3층</x:t>
    </x:r>
  </x:si>
  <x:si>
    <x:r>
      <x:t xml:space="preserve">로지스월드 / 경기 평택시 포승읍 황해희곡2로 51 / </x:t>
    </x:r>
    <x:r>
      <x:rPr>
        <x:b/>
        <x:sz val="16"/>
        <x:color rgb="FFFF0000"/>
        <x:rFont val="맑은 고딕"/>
        <x:family val="3"/>
      </x:rPr>
      <x:t xml:space="preserve">2층</x:t>
    </x:r>
  </x:si>
  <x:si>
    <x:r>
      <x:t xml:space="preserve">덕평 DHL / 이천시 마장면 프리미엄아울렛로 33-48 / </x:t>
    </x:r>
    <x:r>
      <x:rPr>
        <x:b/>
        <x:sz val="16"/>
        <x:color rgb="FFFF0000"/>
        <x:rFont val="맑은 고딕"/>
        <x:family val="3"/>
      </x:rPr>
      <x:t xml:space="preserve">1층</x:t>
    </x:r>
  </x:si>
  <x:si>
    <x:t xml:space="preserve">한국 캘러웨이골프 용인 DAS / 용인시 처인구 원삼면 원양로 129-12 지산물류 </x:t>
  </x:si>
  <x:si>
    <x:r>
      <x:t xml:space="preserve">LX판토스 더파운더즈 이천센터 / 경기 이천시 부발읍 고백리 327-2 / </x:t>
    </x:r>
    <x:r>
      <x:rPr>
        <x:b/>
        <x:sz val="16"/>
        <x:color rgb="FFFF0000"/>
        <x:rFont val="맑은 고딕"/>
        <x:family val="3"/>
      </x:rPr>
      <x:t xml:space="preserve">2층</x:t>
    </x:r>
  </x:si>
  <x:si>
    <x:r>
      <x:t xml:space="preserve">에르메스 / 인천 서구 북항단지로 151 / </x:t>
    </x:r>
    <x:r>
      <x:rPr>
        <x:b/>
        <x:sz val="16"/>
        <x:color rgb="FFFF0000"/>
        <x:rFont val="맑은 고딕"/>
        <x:family val="3"/>
      </x:rPr>
      <x:t xml:space="preserve">3층</x:t>
    </x:r>
  </x:si>
  <x:si>
    <x:r>
      <x:t xml:space="preserve">하고하우스 / 이천시 호법면 중부대로 797-37 / </x:t>
    </x:r>
    <x:r>
      <x:rPr>
        <x:b/>
        <x:sz val="16"/>
        <x:color rgb="FFFF0000"/>
        <x:rFont val="맑은 고딕"/>
        <x:family val="3"/>
      </x:rPr>
      <x:t xml:space="preserve">2층</x:t>
    </x:r>
  </x:si>
  <x:si>
    <x:r>
      <x:t xml:space="preserve">대화물류 / 이천시 마장면 관리 663-2 / </x:t>
    </x:r>
    <x:r>
      <x:rPr>
        <x:b/>
        <x:sz val="16"/>
        <x:color rgb="FFFF0000"/>
        <x:rFont val="맑은 고딕"/>
        <x:family val="3"/>
      </x:rPr>
      <x:t xml:space="preserve">1층</x:t>
    </x:r>
  </x:si>
  <x:si>
    <x:t xml:space="preserve">군산 허스델리 / 전라북도 군산시 나포면 외곤1길 32</x:t>
  </x:si>
  <x:si>
    <x:t xml:space="preserve">여주 바바패션(비앤비물류센터) / 경기 여주시 점동면 원부리 204-6</x:t>
  </x:si>
  <x:si>
    <x:r>
      <x:t xml:space="preserve">제이스타일 / 안성시외버스터미널 / </x:t>
    </x:r>
    <x:r>
      <x:rPr>
        <x:b/>
        <x:sz val="16"/>
        <x:color rgb="FFFF0000"/>
        <x:rFont val="맑은 고딕"/>
        <x:family val="3"/>
      </x:rPr>
      <x:t xml:space="preserve">3층</x:t>
    </x:r>
  </x:si>
  <x:si>
    <x:t xml:space="preserve">심춘숙 이사님 / 띠벨트 교체 컨</x:t>
  </x:si>
  <x:si>
    <x:t xml:space="preserve">강준수</x:t>
  </x:si>
  <x:si>
    <x:t xml:space="preserve">폰드그룹 / 전북 김제시 용지면 부교리 57-4(백자3길 37)</x:t>
  </x:si>
  <x:si>
    <x:t xml:space="preserve">두라로지스 /  경기 김포시 고촌읍 전호리 739</x:t>
  </x:si>
  <x:si>
    <x:t xml:space="preserve">인동 FN / 경기 이천시 마장면 프리미엄아울렛로 33-88</x:t>
  </x:si>
  <x:si>
    <x:r>
      <x:t xml:space="preserve">삼송 프레쉬 / 경기도 고양시 삼막2길 55 프레시로지 물류센터 / </x:t>
    </x:r>
    <x:r>
      <x:rPr>
        <x:b/>
        <x:sz val="16"/>
        <x:color rgb="FFFF0000"/>
        <x:rFont val="맑은 고딕"/>
        <x:family val="3"/>
      </x:rPr>
      <x:t xml:space="preserve">지하1층</x:t>
    </x:r>
  </x:si>
  <x:si>
    <x:r>
      <x:t xml:space="preserve">팬스타 / 경남 창원시 진해구 신항7로 56 / </x:t>
    </x:r>
    <x:r>
      <x:rPr>
        <x:b/>
        <x:sz val="16"/>
        <x:color rgb="FFFF0000"/>
        <x:rFont val="맑은 고딕"/>
        <x:family val="3"/>
      </x:rPr>
      <x:t xml:space="preserve">1번</x:t>
    </x:r>
    <x:r>
      <x:rPr>
        <x:b/>
        <x:sz val="16"/>
        <x:color rgb="FF434343"/>
        <x:rFont val="맑은 고딕"/>
        <x:family val="3"/>
      </x:rPr>
      <x:t xml:space="preserve"> </x:t>
    </x:r>
    <x:r>
      <x:rPr>
        <x:b/>
        <x:sz val="16"/>
        <x:color rgb="FFFF0000"/>
        <x:rFont val="맑은 고딕"/>
        <x:family val="3"/>
      </x:rPr>
      <x:t xml:space="preserve">도크</x:t>
    </x:r>
  </x:si>
  <x:si>
    <x:t xml:space="preserve">BGF 부산 / 부산시 강서구 송정국제1로 69(구랑동1280-5)</x:t>
  </x:si>
  <x:si>
    <x:t xml:space="preserve">블랙야크 / </x:t>
  </x:si>
  <x:si>
    <x:t xml:space="preserve">진행 중</x:t>
  </x:si>
  <x:si>
    <x:t xml:space="preserve">AS 요청 건 / 코텍전자 요청 </x:t>
  </x:si>
  <x:si>
    <x:t xml:space="preserve">LG생활건강 - 1</x:t>
  </x:si>
  <x:si>
    <x:t xml:space="preserve">타이밍 벨트 (250S8M824) 교체 및 폴리비벨트 스페어 2p 286 5ea / 코텍전자 요청 / </x:t>
  </x:si>
  <x:si>
    <x:t xml:space="preserve">LG생활건강 - 2</x:t>
  </x:si>
  <x:si>
    <x:t xml:space="preserve">SG세계물산</x:t>
  </x:si>
  <x:si>
    <x:t xml:space="preserve">백제약품</x:t>
  </x:si>
  <x:si>
    <x:t xml:space="preserve">터치모니터(Pro-face _GP-4501T)교체 + 미쓰비시 PLC베터리((Q06BAT))교체 + PLC 백업 / 코텍전자 요청/ </x:t>
  </x:si>
  <x:si>
    <x:t xml:space="preserve">삼부팩</x:t>
  </x:si>
  <x:si>
    <x:t xml:space="preserve">화성 엘엔피코스메틱</x:t>
  </x:si>
  <x:si>
    <x:t xml:space="preserve">라이프워크 파주</x:t>
  </x:si>
  <x:si>
    <x:t xml:space="preserve">동원 로엑스</x:t>
  </x:si>
  <x:si>
    <x:t xml:space="preserve">머스크 여주</x:t>
  </x:si>
  <x:si>
    <x:t xml:space="preserve">캉골</x:t>
  </x:si>
  <x:si>
    <x:t xml:space="preserve">제이비</x:t>
  </x:si>
  <x:si>
    <x:t xml:space="preserve">에코프로이엠</x:t>
  </x:si>
  <x:si>
    <x:t xml:space="preserve">OCES 덕평</x:t>
  </x:si>
  <x:si>
    <x:t xml:space="preserve">엠코테크놀로지</x:t>
  </x:si>
  <x:si>
    <x:t xml:space="preserve">콜롬비아</x:t>
  </x:si>
  <x:si>
    <x:t xml:space="preserve">GS정보통신</x:t>
  </x:si>
  <x:si>
    <x:t xml:space="preserve">롯데웰푸드</x:t>
  </x:si>
  <x:si>
    <x:t xml:space="preserve">쿠팡 물류센터</x:t>
  </x:si>
  <x:si>
    <x:r>
      <x:t xml:space="preserve">파주 쿠팡 / 파주시 능안로231번길 87 / </x:t>
    </x:r>
    <x:r>
      <x:rPr>
        <x:b/>
        <x:sz val="16"/>
        <x:color rgb="FFFF0000"/>
        <x:rFont val="맑은 고딕"/>
        <x:family val="3"/>
      </x:rPr>
      <x:t xml:space="preserve">1층</x:t>
    </x:r>
  </x:si>
  <x:si>
    <x:r>
      <x:t xml:space="preserve">일산쿠팡 / 고양시 덕양구 오금동 687번지 / </x:t>
    </x:r>
    <x:r>
      <x:rPr>
        <x:b/>
        <x:sz val="16"/>
        <x:color rgb="FFFF0000"/>
        <x:rFont val="맑은 고딕"/>
        <x:family val="3"/>
      </x:rPr>
      <x:t xml:space="preserve">3층</x:t>
    </x:r>
  </x:si>
  <x:si>
    <x:r>
      <x:t xml:space="preserve">김포쿠팡 / 김포 양촌읍 대포산단로 73 / </x:t>
    </x:r>
    <x:r>
      <x:rPr>
        <x:b/>
        <x:sz val="16"/>
        <x:color rgb="FFFF0000"/>
        <x:rFont val="맑은 고딕"/>
        <x:family val="3"/>
      </x:rPr>
      <x:t xml:space="preserve">5층</x:t>
    </x:r>
  </x:si>
  <x:si>
    <x:r>
      <x:t xml:space="preserve">동인천쿠팡 / 인천광역시 서구 당하동 457-1번지 검단로지스틱스파크 / </x:t>
    </x:r>
    <x:r>
      <x:rPr>
        <x:b/>
        <x:sz val="16"/>
        <x:color rgb="FFFF0000"/>
        <x:rFont val="맑은 고딕"/>
        <x:family val="3"/>
      </x:rPr>
      <x:t xml:space="preserve">5층</x:t>
    </x:r>
  </x:si>
  <x:si>
    <x:t xml:space="preserve">인덕션 Belt 접합 / 15~17 / 2명 / 평벨트 (610*14820*2.6T) / </x:t>
  </x:si>
  <x:si>
    <x:r>
      <x:t xml:space="preserve">인천쿠팡 / 남동구 고잔동 655-5 / </x:t>
    </x:r>
    <x:r>
      <x:rPr>
        <x:b/>
        <x:sz val="16"/>
        <x:color rgb="FFFF0000"/>
        <x:rFont val="맑은 고딕"/>
        <x:family val="3"/>
      </x:rPr>
      <x:t xml:space="preserve">6층</x:t>
    </x:r>
  </x:si>
  <x:si>
    <x:r>
      <x:t xml:space="preserve">서초쿠팡 / 서울 서초구 양재동 222 / </x:t>
    </x:r>
    <x:r>
      <x:rPr>
        <x:b/>
        <x:sz val="16"/>
        <x:color rgb="FFFF0000"/>
        <x:rFont val="맑은 고딕"/>
        <x:family val="3"/>
      </x:rPr>
      <x:t xml:space="preserve">1층</x:t>
    </x:r>
  </x:si>
  <x:si>
    <x:r>
      <x:t xml:space="preserve">송파3 쿠팡 / 서울 송파구 송파대로 55 서울복합물류 F동 / </x:t>
    </x:r>
    <x:r>
      <x:rPr>
        <x:b/>
        <x:sz val="16"/>
        <x:color rgb="FFFF0000"/>
        <x:rFont val="맑은 고딕"/>
        <x:family val="3"/>
      </x:rPr>
      <x:t xml:space="preserve">5층</x:t>
    </x:r>
  </x:si>
  <x:si>
    <x:r>
      <x:t xml:space="preserve">송파1 쿠팡 / 서울 송파구 송파대로 55 서울복합물류 B동 / </x:t>
    </x:r>
    <x:r>
      <x:rPr>
        <x:b/>
        <x:sz val="16"/>
        <x:color rgb="FFFF0000"/>
        <x:rFont val="맑은 고딕"/>
        <x:family val="3"/>
      </x:rPr>
      <x:t xml:space="preserve">지하1층</x:t>
    </x:r>
  </x:si>
  <x:si>
    <x:t xml:space="preserve">남양주쿠팡 / 경기도 남양주시 화도읍 차산리 434-6 </x:t>
  </x:si>
  <x:si>
    <x:r>
      <x:t xml:space="preserve">야탑쿠팡 / 분당구 야탑동 403 / </x:t>
    </x:r>
    <x:r>
      <x:rPr>
        <x:b/>
        <x:sz val="16"/>
        <x:color rgb="FFFF0000"/>
        <x:rFont val="맑은 고딕"/>
        <x:family val="3"/>
      </x:rPr>
      <x:t xml:space="preserve">3~4층</x:t>
    </x:r>
  </x:si>
  <x:si>
    <x:r>
      <x:t xml:space="preserve">군포쿠팡 / 안산시 상록구 사사동 119-18 / </x:t>
    </x:r>
    <x:r>
      <x:rPr>
        <x:b/>
        <x:sz val="16"/>
        <x:color rgb="FFFF0000"/>
        <x:rFont val="맑은 고딕"/>
        <x:family val="3"/>
      </x:rPr>
      <x:t xml:space="preserve">2층</x:t>
    </x:r>
  </x:si>
  <x:si>
    <x:t xml:space="preserve">화성쿠팡/ 경기도 화성시 정남면 제기리 183번지</x:t>
  </x:si>
  <x:si>
    <x:r>
      <x:t xml:space="preserve">안산쿠팡 / 안산시 상록구 사사동 119-18 / </x:t>
    </x:r>
    <x:r>
      <x:rPr>
        <x:b/>
        <x:sz val="16"/>
        <x:color rgb="FFFF0000"/>
        <x:rFont val="맑은 고딕"/>
        <x:family val="3"/>
      </x:rPr>
      <x:t xml:space="preserve">2층</x:t>
    </x:r>
  </x:si>
  <x:si>
    <x:r>
      <x:t xml:space="preserve">안양쿠팡 / 안양시 관양동 934 /  </x:t>
    </x:r>
    <x:r>
      <x:rPr>
        <x:b/>
        <x:sz val="16"/>
        <x:color rgb="FFFF0000"/>
        <x:rFont val="맑은 고딕"/>
        <x:family val="3"/>
      </x:rPr>
      <x:t xml:space="preserve">5MF-M</x:t>
    </x:r>
  </x:si>
  <x:si>
    <x:r>
      <x:t xml:space="preserve">청주쿠팡 / 진천군 초평면 은암리 406-8 / </x:t>
    </x:r>
    <x:r>
      <x:rPr>
        <x:b/>
        <x:sz val="16"/>
        <x:color rgb="FFFF0000"/>
        <x:rFont val="맑은 고딕"/>
        <x:family val="3"/>
      </x:rPr>
      <x:t xml:space="preserve">1층</x:t>
    </x:r>
  </x:si>
  <x:si>
    <x:r>
      <x:t xml:space="preserve">대전쿠팡 / 세종시 부강면 문곡리 135-1 / </x:t>
    </x:r>
    <x:r>
      <x:rPr>
        <x:b/>
        <x:sz val="16"/>
        <x:color rgb="FFFF0000"/>
        <x:rFont val="맑은 고딕"/>
        <x:family val="3"/>
      </x:rPr>
      <x:t xml:space="preserve">1층</x:t>
    </x:r>
  </x:si>
  <x:si>
    <x:r>
      <x:t xml:space="preserve">남대전쿠팡 (스파이럴) / 대전 동구 안골로 33 / </x:t>
    </x:r>
    <x:r>
      <x:rPr>
        <x:b/>
        <x:sz val="16"/>
        <x:color rgb="FFFF0000"/>
        <x:rFont val="맑은 고딕"/>
        <x:family val="3"/>
      </x:rPr>
      <x:t xml:space="preserve">5층</x:t>
    </x:r>
    <x:r>
      <x:rPr>
        <x:b/>
        <x:sz val="16"/>
        <x:color rgb="FF434343"/>
        <x:rFont val="맑은 고딕"/>
        <x:family val="3"/>
      </x:rPr>
      <x:t xml:space="preserve"> </x:t>
    </x:r>
  </x:si>
  <x:si>
    <x:t xml:space="preserve">대구쿠팡 / 대구광역시 수성구 대흥동 869</x:t>
  </x:si>
  <x:si>
    <x:r>
      <x:t xml:space="preserve">서대구쿠팡/ 경상북도 칠곡군 왜관읍 낙산리 산7-10 / </x:t>
    </x:r>
    <x:r>
      <x:rPr>
        <x:b/>
        <x:sz val="16"/>
        <x:color rgb="FFFF0000"/>
        <x:rFont val="맑은 고딕"/>
        <x:family val="3"/>
      </x:rPr>
      <x:t xml:space="preserve">2층</x:t>
    </x:r>
  </x:si>
  <x:si>
    <x:t xml:space="preserve">북김해쿠팡 / 경남 김해시 안동 163-2 외 4필지 김해복합물류센터</x:t>
  </x:si>
  <x:si>
    <x:r>
      <x:t xml:space="preserve">남김해쿠팡 / 김해시 김해대로 2635번길 63 / </x:t>
    </x:r>
    <x:r>
      <x:rPr>
        <x:b/>
        <x:sz val="16"/>
        <x:color rgb="FFFF0000"/>
        <x:rFont val="맑은 고딕"/>
        <x:family val="3"/>
      </x:rPr>
      <x:t xml:space="preserve">7층</x:t>
    </x:r>
  </x:si>
  <x:si>
    <x:t xml:space="preserve">견적 및 공사 진행 상황표</x:t>
  </x:si>
  <x:si>
    <x:r>
      <x:rPr>
        <x:sz val="8"/>
        <x:color rgb="FF0B5394"/>
        <x:rFont val="Arial Unicode MS"/>
        <x:family val="3"/>
      </x:rPr>
      <x:t xml:space="preserve">견적</x:t>
    </x:r>
    <x:r>
      <x:rPr>
        <x:sz val="8"/>
        <x:color rgb="FF0B5394"/>
        <x:rFont val="Roboto"/>
      </x:rPr>
      <x:t xml:space="preserve"> </x:t>
    </x:r>
    <x:r>
      <x:rPr>
        <x:sz val="8"/>
        <x:color rgb="FF0B5394"/>
        <x:rFont val="바탕"/>
        <x:family val="1"/>
      </x:rPr>
      <x:t xml:space="preserve">요청</x:t>
    </x:r>
  </x:si>
  <x:si>
    <x:r>
      <x:rPr>
        <x:sz val="8"/>
        <x:color rgb="FF0B5394"/>
        <x:rFont val="Arial Unicode MS"/>
        <x:family val="3"/>
      </x:rPr>
      <x:t xml:space="preserve">견적</x:t>
    </x:r>
    <x:r>
      <x:rPr>
        <x:sz val="8"/>
        <x:color rgb="FF0B5394"/>
        <x:rFont val="Roboto"/>
      </x:rPr>
      <x:t xml:space="preserve"> </x:t>
    </x:r>
    <x:r>
      <x:rPr>
        <x:sz val="8"/>
        <x:color rgb="FF0B5394"/>
        <x:rFont val="맑은 고딕"/>
        <x:family val="3"/>
      </x:rPr>
      <x:t xml:space="preserve">완료</x:t>
    </x:r>
  </x:si>
  <x:si>
    <x:t xml:space="preserve">공사금액</x:t>
  </x:si>
  <x:si>
    <x:r>
      <x:rPr>
        <x:sz val="8"/>
        <x:color rgb="FF0B5394"/>
        <x:rFont val="맑은 고딕"/>
        <x:family val="3"/>
      </x:rPr>
      <x:t xml:space="preserve">공사진행</x:t>
    </x:r>
    <x:r>
      <x:rPr>
        <x:sz val="8"/>
        <x:color rgb="FF0B5394"/>
        <x:rFont val="Arial"/>
        <x:family val="2"/>
      </x:rPr>
      <x:t xml:space="preserve"> </x:t>
    </x:r>
    <x:r>
      <x:rPr>
        <x:sz val="8"/>
        <x:color rgb="FF0B5394"/>
        <x:rFont val="맑은 고딕"/>
        <x:family val="3"/>
      </x:rPr>
      <x:t xml:space="preserve">중</x:t>
    </x:r>
  </x:si>
  <x:si>
    <x:t xml:space="preserve">진행상황 List</x:t>
  </x:si>
  <x:si>
    <x:t xml:space="preserve">견적 완료</x:t>
  </x:si>
  <x:si>
    <x:r>
      <x:t xml:space="preserve">CJ</x:t>
    </x:r>
    <x:r>
      <x:rPr>
        <x:sz val="10"/>
        <x:color rgb="FF002060"/>
        <x:rFont val="돋움"/>
        <x:family val="3"/>
      </x:rPr>
      <x:t xml:space="preserve">올리브영</x:t>
    </x:r>
    <x:r>
      <x:rPr>
        <x:sz val="10"/>
        <x:color rgb="FF002060"/>
        <x:rFont val="Roboto"/>
      </x:rPr>
      <x:t xml:space="preserve"> </x:t>
    </x:r>
    <x:r>
      <x:rPr>
        <x:sz val="10"/>
        <x:color rgb="FF002060"/>
        <x:rFont val="돋움"/>
        <x:family val="3"/>
      </x:rPr>
      <x:t xml:space="preserve">양지센터</x:t>
    </x:r>
    <x:r>
      <x:rPr>
        <x:sz val="10"/>
        <x:color rgb="FF002060"/>
        <x:rFont val="Roboto"/>
      </x:rPr>
      <x:t xml:space="preserve"> </x:t>
    </x:r>
    <x:r>
      <x:rPr>
        <x:sz val="10"/>
        <x:color rgb="FF002060"/>
        <x:rFont val="돋움"/>
        <x:family val="3"/>
      </x:rPr>
      <x:t xml:space="preserve">신규</x:t>
    </x:r>
    <x:r>
      <x:rPr>
        <x:sz val="10"/>
        <x:color rgb="FF002060"/>
        <x:rFont val="Roboto"/>
      </x:rPr>
      <x:t xml:space="preserve"> </x:t>
    </x:r>
    <x:r>
      <x:rPr>
        <x:sz val="10"/>
        <x:color rgb="FF002060"/>
        <x:rFont val="돋움"/>
        <x:family val="3"/>
      </x:rPr>
      <x:t xml:space="preserve">건</x:t>
    </x:r>
    <x:r>
      <x:rPr>
        <x:sz val="10"/>
        <x:color rgb="FF002060"/>
        <x:rFont val="Roboto"/>
      </x:rPr>
      <x:t xml:space="preserve">  / </x:t>
    </x:r>
    <x:r>
      <x:rPr>
        <x:sz val="10"/>
        <x:color rgb="FF002060"/>
        <x:rFont val="돋움"/>
        <x:family val="3"/>
      </x:rPr>
      <x:t xml:space="preserve">한스타</x:t>
    </x:r>
    <x:r>
      <x:rPr>
        <x:sz val="10"/>
        <x:color rgb="FF002060"/>
        <x:rFont val="Roboto"/>
      </x:rPr>
      <x:t xml:space="preserve"> </x:t>
    </x:r>
    <x:r>
      <x:rPr>
        <x:sz val="10"/>
        <x:color rgb="FF002060"/>
        <x:rFont val="돋움"/>
        <x:family val="3"/>
      </x:rPr>
      <x:t xml:space="preserve">이상헌</x:t>
    </x:r>
    <x:r>
      <x:rPr>
        <x:sz val="10"/>
        <x:color rgb="FF002060"/>
        <x:rFont val="Roboto"/>
      </x:rPr>
      <x:t xml:space="preserve"> </x:t>
    </x:r>
    <x:r>
      <x:rPr>
        <x:sz val="10"/>
        <x:color rgb="FF002060"/>
        <x:rFont val="돋움"/>
        <x:family val="3"/>
      </x:rPr>
      <x:t xml:space="preserve">과장님</x:t>
    </x:r>
    <x:r>
      <x:rPr>
        <x:sz val="10"/>
        <x:color rgb="FF002060"/>
        <x:rFont val="Roboto"/>
      </x:rPr>
      <x:t xml:space="preserve"> / (800L*680W*1900H, 60P) (800L*680W*3000H, 60P)</x:t>
    </x:r>
  </x:si>
  <x:si>
    <x:t xml:space="preserve">견적메일 발송 완료</x:t>
  </x:si>
  <x:si>
    <x:t xml:space="preserve">공사진행 중</x:t>
  </x:si>
  <x:si>
    <x:t xml:space="preserve">Drop</x:t>
  </x:si>
  <x:si>
    <x:r>
      <x:rPr>
        <x:b/>
        <x:sz val="16"/>
        <x:color rgb="FF434343"/>
        <x:rFont val="Arial"/>
        <x:family val="2"/>
      </x:rPr>
      <x:t xml:space="preserve">(</x:t>
    </x:r>
    <x:r>
      <x:rPr>
        <x:b/>
        <x:sz val="16"/>
        <x:color rgb="FF434343"/>
        <x:rFont val="맑은 고딕"/>
        <x:family val="3"/>
      </x:rPr>
      <x:t xml:space="preserve">업체명</x:t>
    </x:r>
    <x:r>
      <x:rPr>
        <x:b/>
        <x:sz val="16"/>
        <x:color rgb="FF434343"/>
        <x:rFont val="Arial"/>
        <x:family val="2"/>
      </x:rPr>
      <x:t xml:space="preserve">)</x:t>
    </x:r>
  </x:si>
  <x:si>
    <x:t xml:space="preserve">2026 A/S 진행 완료 금액</x:t>
  </x:si>
  <x:si>
    <x:t xml:space="preserve">번호</x:t>
  </x:si>
  <x:si>
    <x:t xml:space="preserve">현장</x:t>
  </x:si>
  <x:si>
    <x:t xml:space="preserve">1월</x:t>
  </x:si>
  <x:si>
    <x:t xml:space="preserve">2월</x:t>
  </x:si>
  <x:si>
    <x:t xml:space="preserve">3월</x:t>
  </x:si>
  <x:si>
    <x:t xml:space="preserve">4월</x:t>
  </x:si>
  <x:si>
    <x:t xml:space="preserve">5월</x:t>
  </x:si>
  <x:si>
    <x:t xml:space="preserve">6월</x:t>
  </x:si>
  <x:si>
    <x:t xml:space="preserve">7월</x:t>
  </x:si>
  <x:si>
    <x:t xml:space="preserve">8월</x:t>
  </x:si>
  <x:si>
    <x:t xml:space="preserve">9월</x:t>
  </x:si>
  <x:si>
    <x:t xml:space="preserve">10월</x:t>
  </x:si>
  <x:si>
    <x:t xml:space="preserve">11월</x:t>
  </x:si>
  <x:si>
    <x:t xml:space="preserve">12월</x:t>
  </x:si>
  <x:si>
    <x:t xml:space="preserve">월 합산 총계</x:t>
  </x:si>
  <x:si>
    <x:t xml:space="preserve">총계</x:t>
  </x:si>
  <x:si>
    <x:t xml:space="preserve">안성다이소</x:t>
  </x:si>
  <x:si>
    <x:t xml:space="preserve">군포 아이스크림</x:t>
  </x:si>
  <x:si>
    <x:t xml:space="preserve">포천우리도가</x:t>
  </x:si>
  <x:si>
    <x:t xml:space="preserve">태은물류</x:t>
  </x:si>
  <x:si>
    <x:t xml:space="preserve">이천 에스터포뮬러</x:t>
  </x:si>
  <x:si>
    <x:t xml:space="preserve">팀프레시</x:t>
  </x:si>
  <x:si>
    <x:t xml:space="preserve">올리브영(경산)</x:t>
  </x:si>
  <x:si>
    <x:t xml:space="preserve">대구BGF</x:t>
  </x:si>
  <x:si>
    <x:t xml:space="preserve">더캐리</x:t>
  </x:si>
  <x:si>
    <x:t xml:space="preserve">환인제약</x:t>
  </x:si>
  <x:si>
    <x:t xml:space="preserve">덕평롯데택배</x:t>
  </x:si>
  <x:si>
    <x:t xml:space="preserve">APR</x:t>
  </x:si>
  <x:si>
    <x:t xml:space="preserve">APR 이전센터</x:t>
  </x:si>
  <x:si>
    <x:t xml:space="preserve">평택 로지스월</x:t>
  </x:si>
  <x:si>
    <x:t xml:space="preserve">덕평 DHL</x:t>
  </x:si>
  <x:si>
    <x:t xml:space="preserve">한국캘러웨이골프 용인 DAS</x:t>
  </x:si>
  <x:si>
    <x:t xml:space="preserve">LX판토스 더파운더즈 이천센터</x:t>
  </x:si>
  <x:si>
    <x:t xml:space="preserve">에르메스</x:t>
  </x:si>
  <x:si>
    <x:t xml:space="preserve">하고하우스</x:t>
  </x:si>
  <x:si>
    <x:t xml:space="preserve">대화물류</x:t>
  </x:si>
  <x:si>
    <x:t xml:space="preserve">군산 허스델리</x:t>
  </x:si>
  <x:si>
    <x:t xml:space="preserve">여주 바바패션(비앤비물류센터)</x:t>
  </x:si>
  <x:si>
    <x:t xml:space="preserve">제이스타일</x:t>
  </x:si>
  <x:si>
    <x:t xml:space="preserve">폰드그룹</x:t>
  </x:si>
  <x:si>
    <x:t xml:space="preserve">두라로지스</x:t>
  </x:si>
  <x:si>
    <x:t xml:space="preserve">인동 FN</x:t>
  </x:si>
  <x:si>
    <x:t xml:space="preserve">삼송 프레쉬</x:t>
  </x:si>
  <x:si>
    <x:t xml:space="preserve">팬스타</x:t>
  </x:si>
  <x:si>
    <x:t xml:space="preserve">BGF부산</x:t>
  </x:si>
  <x:si>
    <x:t xml:space="preserve">블랙야크</x:t>
  </x:si>
  <x:si>
    <x:t xml:space="preserve">LG생활건강 - 1 </x:t>
  </x:si>
  <x:si>
    <x:t xml:space="preserve">머스크 (여주)</x:t>
  </x:si>
  <x:si>
    <x:t xml:space="preserve">티몬다스&amp;설성목장 Handover 건</x:t>
  </x:si>
  <x:si>
    <x:r>
      <x:rPr>
        <x:sz val="8"/>
        <x:color rgb="FF0B5394"/>
        <x:rFont val="맑은 고딕"/>
        <x:family val="3"/>
      </x:rPr>
      <x:t xml:space="preserve">보류</x:t>
    </x:r>
    <x:r>
      <x:rPr>
        <x:sz val="8"/>
        <x:color rgb="FF0B5394"/>
        <x:rFont val="Arial"/>
        <x:family val="2"/>
      </x:rPr>
      <x:t xml:space="preserve"> </x:t>
    </x:r>
    <x:r>
      <x:rPr>
        <x:sz val="8"/>
        <x:color rgb="FF0B5394"/>
        <x:rFont val="맑은 고딕"/>
        <x:family val="3"/>
      </x:rPr>
      <x:t xml:space="preserve">중</x:t>
    </x:r>
  </x:si>
  <x:si>
    <x:t xml:space="preserve">계획 중</x:t>
  </x:si>
  <x:si>
    <x:t xml:space="preserve">종료일</x:t>
  </x:si>
  <x:si>
    <x:t xml:space="preserve">기간</x:t>
  </x:si>
  <x:si>
    <x:t xml:space="preserve">설명</x:t>
  </x:si>
  <x:si>
    <x:r>
      <x:rPr>
        <x:b/>
        <x:sz val="16"/>
        <x:color rgb="FF434343"/>
        <x:rFont val="Roboto"/>
      </x:rPr>
      <x:t xml:space="preserve">8</x:t>
    </x:r>
    <x:r>
      <x:rPr>
        <x:b/>
        <x:sz val="16"/>
        <x:color rgb="FF434343"/>
        <x:rFont val="맑은 고딕"/>
        <x:family val="3"/>
      </x:rPr>
      <x:t xml:space="preserve">월</x:t>
    </x:r>
    <x:r>
      <x:rPr>
        <x:b/>
        <x:sz val="16"/>
        <x:color rgb="FF434343"/>
        <x:rFont val="Arial"/>
        <x:family val="2"/>
      </x:rPr>
      <x:t xml:space="preserve"> </x:t>
    </x:r>
    <x:r>
      <x:rPr>
        <x:b/>
        <x:sz val="16"/>
        <x:color rgb="FF434343"/>
        <x:rFont val="맑은 고딕"/>
        <x:family val="3"/>
      </x:rPr>
      <x:t xml:space="preserve">한국소터</x:t>
    </x:r>
    <x:r>
      <x:rPr>
        <x:b/>
        <x:sz val="16"/>
        <x:color rgb="FF434343"/>
        <x:rFont val="Arial"/>
        <x:family val="2"/>
      </x:rPr>
      <x:t xml:space="preserve"> </x:t>
    </x:r>
    <x:r>
      <x:rPr>
        <x:b/>
        <x:sz val="16"/>
        <x:color rgb="FF434343"/>
        <x:rFont val="맑은 고딕"/>
        <x:family val="3"/>
      </x:rPr>
      <x:t xml:space="preserve">스페어파트</x:t>
    </x:r>
    <x:r>
      <x:rPr>
        <x:b/>
        <x:sz val="16"/>
        <x:color rgb="FF434343"/>
        <x:rFont val="Arial"/>
        <x:family val="2"/>
      </x:rPr>
      <x:t xml:space="preserve"> </x:t>
    </x:r>
    <x:r>
      <x:rPr>
        <x:b/>
        <x:sz val="16"/>
        <x:color rgb="FF434343"/>
        <x:rFont val="맑은 고딕"/>
        <x:family val="3"/>
      </x:rPr>
      <x:t xml:space="preserve">구매건</x:t>
    </x:r>
    <x:r>
      <x:rPr>
        <x:b/>
        <x:sz val="16"/>
        <x:color rgb="FF434343"/>
        <x:rFont val="Arial"/>
        <x:family val="2"/>
      </x:rPr>
      <x:t xml:space="preserve">.</x:t>
    </x:r>
  </x:si>
  <x:si>
    <x:r>
      <x:rPr>
        <x:sz val="10"/>
        <x:color rgb="FFA5A5A5"/>
        <x:rFont val="돋움"/>
        <x:family val="3"/>
      </x:rPr>
      <x:t xml:space="preserve">작업의</x:t>
    </x:r>
    <x:r>
      <x:rPr>
        <x:sz val="10"/>
        <x:color rgb="FFA5A5A5"/>
        <x:rFont val="Roboto"/>
      </x:rPr>
      <x:t xml:space="preserve"> </x:t>
    </x:r>
    <x:r>
      <x:rPr>
        <x:sz val="10"/>
        <x:color rgb="FFA5A5A5"/>
        <x:rFont val="돋움"/>
        <x:family val="3"/>
      </x:rPr>
      <x:t xml:space="preserve">세부정보</x:t>
    </x:r>
    <x:r>
      <x:rPr>
        <x:sz val="10"/>
        <x:color rgb="FFA5A5A5"/>
        <x:rFont val="Roboto"/>
      </x:rPr>
      <x:t xml:space="preserve"> </x:t>
    </x:r>
    <x:r>
      <x:rPr>
        <x:sz val="10"/>
        <x:color rgb="FFA5A5A5"/>
        <x:rFont val="돋움"/>
        <x:family val="3"/>
      </x:rPr>
      <x:t xml:space="preserve">입력</x:t>
    </x:r>
  </x:si>
  <x:si>
    <x:t xml:space="preserve">요청</x:t>
  </x:si>
  <x:si>
    <x:r>
      <x:rPr>
        <x:sz val="10"/>
        <x:color rgb="FFA5A5A5"/>
        <x:rFont val="Roboto"/>
      </x:rPr>
      <x:t xml:space="preserve">시작</x:t>
    </x:r>
    <x:r>
      <x:rPr>
        <x:sz val="10"/>
        <x:color rgb="FFA5A5A5"/>
        <x:rFont val="Roboto"/>
      </x:rPr>
      <x:t xml:space="preserve"> </x:t>
    </x:r>
    <x:r>
      <x:rPr>
        <x:sz val="10"/>
        <x:color rgb="FFA5A5A5"/>
        <x:rFont val="Roboto"/>
      </x:rPr>
      <x:t xml:space="preserve">전</x:t>
    </x:r>
  </x:si>
  <x:si>
    <x:r>
      <x:rPr>
        <x:sz val="10"/>
        <x:color rgb="FFA5A5A5"/>
        <x:rFont val="맑은 고딕"/>
        <x:family val="3"/>
      </x:rPr>
      <x:t xml:space="preserve">작업의</x:t>
    </x:r>
    <x:r>
      <x:rPr>
        <x:sz val="10"/>
        <x:color rgb="FFA5A5A5"/>
        <x:rFont val="Roboto"/>
      </x:rPr>
      <x:t xml:space="preserve"> </x:t>
    </x:r>
    <x:r>
      <x:rPr>
        <x:sz val="10"/>
        <x:color rgb="FFA5A5A5"/>
        <x:rFont val="맑은 고딕"/>
        <x:family val="3"/>
      </x:rPr>
      <x:t xml:space="preserve">세부정보</x:t>
    </x:r>
    <x:r>
      <x:rPr>
        <x:sz val="10"/>
        <x:color rgb="FFA5A5A5"/>
        <x:rFont val="Roboto"/>
      </x:rPr>
      <x:t xml:space="preserve"> </x:t>
    </x:r>
    <x:r>
      <x:rPr>
        <x:sz val="10"/>
        <x:color rgb="FFA5A5A5"/>
        <x:rFont val="맑은 고딕"/>
        <x:family val="3"/>
      </x:rPr>
      <x:t xml:space="preserve">입력</x:t>
    </x:r>
  </x:si>
  <x:si>
    <x:t xml:space="preserve">공유</x:t>
  </x:si>
  <x:si>
    <x:r>
      <x:rPr>
        <x:sz val="10"/>
        <x:color rgb="FFA5A5A5"/>
        <x:rFont val="Roboto"/>
      </x:rPr>
      <x:t xml:space="preserve">진행</x:t>
    </x:r>
    <x:r>
      <x:rPr>
        <x:sz val="10"/>
        <x:color rgb="FFA5A5A5"/>
        <x:rFont val="Roboto"/>
      </x:rPr>
      <x:t xml:space="preserve"> </x:t>
    </x:r>
    <x:r>
      <x:rPr>
        <x:sz val="10"/>
        <x:color rgb="FFA5A5A5"/>
        <x:rFont val="Roboto"/>
      </x:rPr>
      <x:t xml:space="preserve">중</x:t>
    </x:r>
  </x:si>
  <x:si>
    <x:t xml:space="preserve">한국소터 L/S 컨베이어 자재 구매건.</x:t>
  </x:si>
</x:sst>
</file>

<file path=xl/styles.xml><?xml version="1.0" encoding="utf-8"?>
<x:styleSheet xmlns:x="http://schemas.openxmlformats.org/spreadsheetml/2006/main">
  <x:numFmts count="9">
    <x:numFmt numFmtId="41" formatCode="_-* #,##0_-;\-* #,##0_-;_-* &quot;-&quot;_-;_-@_-"/>
    <x:numFmt numFmtId="176" formatCode="yyyy&quot;-&quot;m&quot;-&quot;d"/>
    <x:numFmt numFmtId="177" formatCode="_-* #,##0_-;\-* #,##0_-;_-* &quot;-&quot;_-;_-@"/>
    <x:numFmt numFmtId="178" formatCode="[$₩]#,##0.00"/>
    <x:numFmt numFmtId="179" formatCode="m/d/yy"/>
    <x:numFmt numFmtId="180" formatCode="&quot;$&quot;#,##0.00"/>
    <x:numFmt numFmtId="181" formatCode="0_);[Red]\(0\)"/>
    <x:numFmt numFmtId="200" formatCode="0"/>
    <x:numFmt numFmtId="201" formatCode="#,##0"/>
  </x:numFmts>
  <x:fonts count="81">
    <x:font>
      <x:sz val="10"/>
      <x:color rgb="FF000000"/>
      <x:name val="Arial"/>
    </x:font>
    <x:font>
      <x:sz val="11"/>
      <x:color theme="1"/>
      <x:name val="Calibri"/>
    </x:font>
    <x:font>
      <x:b/>
      <x:sz val="30"/>
      <x:color rgb="FF0B5394"/>
      <x:name val="Poppins"/>
    </x:font>
    <x:font>
      <x:b/>
      <x:sz val="11"/>
      <x:color rgb="FF0B5394"/>
      <x:name val="Poppins"/>
    </x:font>
    <x:font>
      <x:sz val="10"/>
      <x:color theme="1"/>
      <x:name val="Poppins"/>
    </x:font>
    <x:font>
      <x:sz val="11"/>
      <x:color rgb="FF000000"/>
      <x:name val="Poppins"/>
    </x:font>
    <x:font>
      <x:sz val="11"/>
      <x:color rgb="FF0B5394"/>
      <x:name val="Poppins"/>
    </x:font>
    <x:font>
      <x:sz val="11"/>
      <x:color theme="1"/>
      <x:name val="Poppins"/>
    </x:font>
    <x:font>
      <x:b/>
      <x:sz val="24"/>
      <x:color rgb="FFFF0000"/>
      <x:name val="Malgun Gothic"/>
    </x:font>
    <x:font>
      <x:sz val="10"/>
      <x:name val="Arial"/>
    </x:font>
    <x:font>
      <x:b/>
      <x:sz val="32"/>
      <x:color rgb="FF0B5394"/>
      <x:name val="Roboto"/>
    </x:font>
    <x:font>
      <x:b/>
      <x:sz val="12"/>
      <x:color rgb="FF0B5394"/>
      <x:name val="Roboto"/>
    </x:font>
    <x:font>
      <x:sz val="12"/>
      <x:color rgb="FF0B5394"/>
      <x:name val="Roboto"/>
    </x:font>
    <x:font>
      <x:b/>
      <x:sz val="8"/>
      <x:color rgb="FF0B5394"/>
      <x:name val="Roboto"/>
    </x:font>
    <x:font>
      <x:b/>
      <x:sz val="11"/>
      <x:color rgb="FF434343"/>
      <x:name val="Poppins"/>
    </x:font>
    <x:font>
      <x:sz val="11"/>
      <x:color rgb="FF434343"/>
      <x:name val="Poppins"/>
    </x:font>
    <x:font>
      <x:sz val="11"/>
      <x:color rgb="FF000000"/>
      <x:name val="Century Gothic"/>
    </x:font>
    <x:font>
      <x:sz val="11"/>
      <x:color theme="1"/>
      <x:name val="Century Gothic"/>
    </x:font>
    <x:font>
      <x:sz val="8"/>
      <x:color rgb="FF0B5394"/>
      <x:name val="Roboto"/>
    </x:font>
    <x:font>
      <x:sz val="10"/>
      <x:color rgb="FF0B5394"/>
      <x:name val="Roboto"/>
    </x:font>
    <x:font>
      <x:sz val="11"/>
      <x:color theme="1"/>
      <x:name val="Roboto"/>
    </x:font>
    <x:font>
      <x:b/>
      <x:sz val="16"/>
      <x:color rgb="FF434343"/>
      <x:name val="Roboto"/>
    </x:font>
    <x:font>
      <x:sz val="8"/>
      <x:color rgb="FF0B5394"/>
      <x:name val="Malgun Gothic"/>
    </x:font>
    <x:font>
      <x:sz val="10"/>
      <x:color rgb="FF2F5496"/>
      <x:name val="Roboto"/>
    </x:font>
    <x:font>
      <x:sz val="10"/>
      <x:color rgb="FF0B5394"/>
      <x:name val="Malgun Gothic"/>
    </x:font>
    <x:font>
      <x:sz val="10"/>
      <x:color rgb="FF0B5394"/>
      <x:name val="Arial"/>
    </x:font>
    <x:font>
      <x:sz val="9"/>
      <x:color rgb="FFFFFFFF"/>
      <x:name val="Roboto"/>
    </x:font>
    <x:font>
      <x:b/>
      <x:sz val="9"/>
      <x:color rgb="FF434343"/>
      <x:name val="Roboto"/>
    </x:font>
    <x:font>
      <x:sz val="10"/>
      <x:color rgb="FFA5A5A5"/>
      <x:name val="Roboto"/>
    </x:font>
    <x:font>
      <x:sz val="10"/>
      <x:color rgb="FFFF0000"/>
      <x:name val="Roboto"/>
    </x:font>
    <x:font>
      <x:sz val="11"/>
      <x:color rgb="FF434343"/>
      <x:name val="Roboto"/>
    </x:font>
    <x:font>
      <x:b/>
      <x:sz val="10"/>
      <x:color rgb="FF434343"/>
      <x:name val="Roboto"/>
    </x:font>
    <x:font>
      <x:sz val="10"/>
      <x:color rgb="FF002060"/>
      <x:name val="Malgun Gothic"/>
    </x:font>
    <x:font>
      <x:b/>
      <x:sz val="11"/>
      <x:color rgb="FF0B5394"/>
      <x:name val="Roboto"/>
    </x:font>
    <x:font>
      <x:sz val="11"/>
      <x:color rgb="FF0B5394"/>
      <x:name val="Roboto"/>
    </x:font>
    <x:font>
      <x:b/>
      <x:sz val="9"/>
      <x:color rgb="FFFFFFFF"/>
      <x:name val="Roboto"/>
    </x:font>
    <x:font>
      <x:b/>
      <x:sz val="9"/>
      <x:color rgb="FF0B5394"/>
      <x:name val="Malgun Gothic"/>
    </x:font>
    <x:font>
      <x:b/>
      <x:sz val="9"/>
      <x:color rgb="FF0B5394"/>
      <x:name val="Roboto"/>
    </x:font>
    <x:font>
      <x:sz val="10"/>
      <x:color rgb="FF002060"/>
      <x:name val="Roboto"/>
    </x:font>
    <x:font>
      <x:sz val="9"/>
      <x:color rgb="FF434343"/>
      <x:name val="Roboto"/>
    </x:font>
    <x:font>
      <x:b/>
      <x:sz val="11"/>
      <x:color rgb="FF434343"/>
      <x:name val="Roboto"/>
    </x:font>
    <x:font>
      <x:b/>
      <x:sz val="12"/>
      <x:color rgb="FF434343"/>
      <x:name val="Roboto"/>
    </x:font>
    <x:font>
      <x:sz val="8"/>
      <x:color rgb="FF0B5394"/>
      <x:name val="Arial"/>
    </x:font>
    <x:font>
      <x:sz val="12"/>
      <x:color rgb="FF0B5394"/>
      <x:name val="Arial"/>
    </x:font>
    <x:font>
      <x:b/>
      <x:sz val="30"/>
      <x:color rgb="FFFF0000"/>
      <x:name val="Malgun Gothic"/>
    </x:font>
    <x:font>
      <x:b/>
      <x:sz val="10"/>
      <x:color rgb="FF666666"/>
      <x:name val="Roboto"/>
    </x:font>
    <x:font>
      <x:b/>
      <x:sz val="16"/>
      <x:color rgb="FF45818E"/>
      <x:name val="Roboto"/>
    </x:font>
    <x:font>
      <x:b/>
      <x:sz val="16"/>
      <x:color rgb="FFB85B22"/>
      <x:name val="Roboto"/>
    </x:font>
    <x:font>
      <x:sz val="12"/>
      <x:color rgb="FF0B5394"/>
      <x:name val="맑은 고딕"/>
    </x:font>
    <x:font>
      <x:b/>
      <x:sz val="16"/>
      <x:color rgb="FF434343"/>
      <x:name val="맑은 고딕"/>
    </x:font>
    <x:font>
      <x:b/>
      <x:sz val="16"/>
      <x:color rgb="FF434343"/>
      <x:name val="Arial"/>
    </x:font>
    <x:font>
      <x:b/>
      <x:sz val="8"/>
      <x:color rgb="FF0B5394"/>
      <x:name val="맑은 고딕"/>
    </x:font>
    <x:font>
      <x:sz val="8"/>
      <x:color rgb="FF0B5394"/>
      <x:name val="맑은 고딕"/>
    </x:font>
    <x:font>
      <x:sz val="10"/>
      <x:color rgb="FFA5A5A5"/>
      <x:name val="돋움"/>
    </x:font>
    <x:font>
      <x:sz val="10"/>
      <x:color rgb="FFA5A5A5"/>
      <x:name val="맑은 고딕"/>
    </x:font>
    <x:font>
      <x:sz val="8"/>
      <x:name val="돋움"/>
    </x:font>
    <x:font>
      <x:b/>
      <x:sz val="16"/>
      <x:color theme="1"/>
      <x:name val="맑은 고딕"/>
    </x:font>
    <x:font>
      <x:b/>
      <x:sz val="16"/>
      <x:color rgb="FFFF0000"/>
      <x:name val="맑은 고딕"/>
    </x:font>
    <x:font>
      <x:sz val="8"/>
      <x:name val="Calibri"/>
    </x:font>
    <x:font>
      <x:sz val="10"/>
      <x:color rgb="FF000000"/>
      <x:name val="Arial"/>
    </x:font>
    <x:font>
      <x:sz val="10"/>
      <x:color rgb="FF2F5496"/>
      <x:name val="돋움"/>
    </x:font>
    <x:font>
      <x:sz val="10"/>
      <x:color rgb="FF002060"/>
      <x:name val="돋움"/>
    </x:font>
    <x:font>
      <x:sz val="8"/>
      <x:color rgb="FF0B5394"/>
      <x:name val="바탕"/>
    </x:font>
    <x:font>
      <x:sz val="8"/>
      <x:color rgb="FF0B5394"/>
      <x:name val="Arial Unicode MS"/>
    </x:font>
    <x:font>
      <x:sz val="8"/>
      <x:color rgb="FF0B5394"/>
      <x:name val="Roboto"/>
    </x:font>
    <x:font>
      <x:sz val="10"/>
      <x:name val="Roboto"/>
    </x:font>
    <x:font>
      <x:b/>
      <x:sz val="16"/>
      <x:color rgb="FF434343"/>
      <x:name val="Arial Unicode MS"/>
    </x:font>
    <x:font>
      <x:sz val="14"/>
      <x:color theme="1"/>
      <x:name val="맑은 고딕"/>
    </x:font>
    <x:font>
      <x:sz val="14"/>
      <x:color rgb="FF000000"/>
      <x:name val="맑은 고딕"/>
    </x:font>
    <x:font>
      <x:sz val="15"/>
      <x:color theme="1"/>
      <x:name val="맑은 고딕"/>
    </x:font>
    <x:font>
      <x:b/>
      <x:sz val="15"/>
      <x:color theme="1"/>
      <x:name val="맑은 고딕"/>
    </x:font>
    <x:font>
      <x:sz val="10"/>
      <x:color rgb="FF000000"/>
      <x:name val="맑은 고딕"/>
    </x:font>
    <x:font>
      <x:b/>
      <x:sz val="24"/>
      <x:color rgb="FFFF0000"/>
      <x:name val="맑은 고딕"/>
    </x:font>
    <x:font>
      <x:sz val="24"/>
      <x:color theme="1"/>
      <x:name val="맑은 고딕"/>
    </x:font>
    <x:font>
      <x:b/>
      <x:sz val="24"/>
      <x:color theme="0"/>
      <x:name val="맑은 고딕"/>
    </x:font>
    <x:font>
      <x:sz val="20"/>
      <x:color rgb="FF000000"/>
      <x:name val="맑은 고딕"/>
    </x:font>
    <x:font>
      <x:sz val="15"/>
      <x:color rgb="FF1C1C1C"/>
      <x:name val="맑은 고딕"/>
    </x:font>
    <x:font>
      <x:b/>
      <x:sz val="16"/>
      <x:color indexed="81"/>
      <x:name val="맑은 고딕"/>
    </x:font>
    <x:font>
      <x:sz val="16"/>
      <x:color indexed="81"/>
      <x:name val="맑은 고딕"/>
    </x:font>
    <x:font>
      <x:b/>
      <x:sz val="17"/>
      <x:color rgb="FFE00000"/>
      <x:name val="맑은 고딕"/>
    </x:font>
    <x:font>
      <x:b/>
      <x:sz val="10"/>
      <x:color rgb="FFFFFFFF"/>
      <x:name val="맑은 고딕"/>
    </x:font>
  </x:fonts>
  <x:fills count="1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3F3"/>
      </x:patternFill>
    </x:fill>
    <x:fill>
      <x:patternFill patternType="solid">
        <x:fgColor rgb="FF0B5394"/>
      </x:patternFill>
    </x:fill>
    <x:fill>
      <x:patternFill patternType="solid">
        <x:fgColor rgb="FFFFFF00"/>
      </x:patternFill>
    </x:fill>
    <x:fill>
      <x:patternFill patternType="solid">
        <x:fgColor theme="5" tint="0.79998"/>
      </x:patternFill>
    </x:fill>
    <x:fill>
      <x:patternFill patternType="solid">
        <x:fgColor theme="0" tint="-0.15"/>
      </x:patternFill>
    </x:fill>
    <x:fill>
      <x:patternFill patternType="solid">
        <x:fgColor theme="4" tint="0.79998"/>
      </x:patternFill>
    </x:fill>
    <x:fill>
      <x:patternFill patternType="solid">
        <x:fgColor rgb="FFFFF200"/>
      </x:patternFill>
    </x:fill>
    <x:fill>
      <x:patternFill patternType="solid">
        <x:fgColor rgb="FF202020"/>
      </x:patternFill>
    </x:fill>
    <x:fill>
      <x:patternFill patternType="solid">
        <x:fgColor rgb="FFFBE9DE"/>
      </x:patternFill>
    </x:fill>
  </x:fills>
  <x:borders count="89">
    <x:border/>
    <x:border/>
    <x:border>
      <x:bottom style="thick">
        <x:color rgb="FF0B5394"/>
      </x:bottom>
    </x:border>
    <x:border>
      <x:bottom style="thick">
        <x:color rgb="FF0B5394"/>
      </x:bottom>
    </x:border>
    <x:border>
      <x:bottom style="thick">
        <x:color rgb="FF0B5394"/>
      </x:bottom>
    </x:border>
    <x:border>
      <x:bottom style="thick">
        <x:color rgb="FF0B5394"/>
      </x:bottom>
    </x:border>
    <x:border>
      <x:bottom style="hair">
        <x:color rgb="FF999999"/>
      </x:bottom>
    </x:border>
    <x:border/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bottom style="medium">
        <x:color rgb="FF434343"/>
      </x:bottom>
    </x:border>
    <x:border>
      <x:bottom style="medium">
        <x:color rgb="FF434343"/>
      </x:bottom>
    </x:border>
    <x:border>
      <x:bottom style="medium">
        <x:color rgb="FF434343"/>
      </x:bottom>
    </x:border>
    <x:border>
      <x:top style="medium">
        <x:color rgb="FF434343"/>
      </x:top>
    </x:border>
    <x:border>
      <x:bottom style="medium">
        <x:color rgb="FF434343"/>
      </x:bottom>
    </x:border>
    <x:border>
      <x:bottom style="medium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medium">
        <x:color rgb="FF434343"/>
      </x:top>
      <x:bottom style="thin">
        <x:color indexed="64"/>
      </x:bottom>
    </x:border>
    <x:border>
      <x:top style="medium">
        <x:color rgb="FF434343"/>
      </x:top>
      <x:bottom style="thin">
        <x:color indexed="64"/>
      </x:bottom>
    </x:border>
    <x:border>
      <x:right style="thin">
        <x:color indexed="64"/>
      </x:right>
      <x:top style="medium">
        <x:color rgb="FF434343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/>
    <x:border>
      <x:bottom style="thick">
        <x:color rgb="FF0B5394"/>
      </x:bottom>
    </x:border>
    <x:border>
      <x:bottom style="hair">
        <x:color rgb="FF999999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medium">
        <x:color rgb="FF434343"/>
      </x:top>
    </x:border>
    <x:border>
      <x:bottom style="medium">
        <x:color rgb="FF434343"/>
      </x:bottom>
    </x:border>
    <x:border>
      <x:bottom style="medium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medium">
        <x:color rgb="FF434343"/>
      </x:top>
      <x:bottom style="thin">
        <x:color indexed="64"/>
      </x:bottom>
    </x:border>
    <x:border>
      <x:top style="medium">
        <x:color rgb="FF434343"/>
      </x:top>
      <x:bottom style="thin">
        <x:color indexed="64"/>
      </x:bottom>
    </x:border>
    <x:border>
      <x:right style="thin">
        <x:color indexed="64"/>
      </x:right>
      <x:top style="medium">
        <x:color rgb="FF434343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3">
    <x:xf numFmtId="0" fontId="0" fillId="0" borderId="0"/>
    <x:xf numFmtId="0" fontId="1" fillId="0" borderId="11">
      <x:alignment vertical="center"/>
    </x:xf>
    <x:xf numFmtId="41" fontId="59" fillId="0" borderId="0" applyFont="0" applyFill="0" applyBorder="0" applyAlignment="0" applyProtection="0">
      <x:alignment vertical="center"/>
    </x:xf>
  </x:cellStyleXfs>
  <x:cellXfs count="536">
    <x:xf numFmtId="0" fontId="0" fillId="0" borderId="0" xfId="0" applyFont="1" applyAlignment="1"/>
    <x:xf numFmtId="0" fontId="2" fillId="2" borderId="1" xfId="0" applyFont="1" applyFill="1" applyBorder="1" applyAlignment="1">
      <x:alignment horizontal="left" vertical="center"/>
    </x:xf>
    <x:xf numFmtId="0" fontId="3" fillId="2" borderId="1" xfId="0" applyFont="1" applyFill="1" applyBorder="1" applyAlignment="1">
      <x:alignment horizontal="left" vertical="center"/>
    </x:xf>
    <x:xf numFmtId="0" fontId="3" fillId="2" borderId="1" xfId="0" applyFont="1" applyFill="1" applyBorder="1" applyAlignment="1">
      <x:alignment vertical="center"/>
    </x:xf>
    <x:xf numFmtId="0" fontId="4" fillId="0" borderId="0" xfId="0" applyFont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vertical="center"/>
    </x:xf>
    <x:xf numFmtId="0" fontId="5" fillId="0" borderId="0" xfId="0" applyFont="1" applyAlignment="1">
      <x:alignment horizontal="left" vertical="center"/>
    </x:xf>
    <x:xf numFmtId="0" fontId="6" fillId="3" borderId="1" xfId="0" applyFont="1" applyFill="1" applyBorder="1" applyAlignment="1">
      <x:alignment vertical="center"/>
    </x:xf>
    <x:xf numFmtId="0" fontId="7" fillId="0" borderId="0" xfId="0" applyFont="1" applyAlignment="1">
      <x:alignment vertical="center"/>
    </x:xf>
    <x:xf numFmtId="0" fontId="10" fillId="2" borderId="5" xfId="0" applyFont="1" applyFill="1" applyBorder="1" applyAlignment="1">
      <x:alignment horizontal="left" vertical="center"/>
    </x:xf>
    <x:xf numFmtId="0" fontId="11" fillId="2" borderId="5" xfId="0" applyFont="1" applyFill="1" applyBorder="1" applyAlignment="1">
      <x:alignment horizontal="left" vertical="center"/>
    </x:xf>
    <x:xf numFmtId="0" fontId="13" fillId="3" borderId="1" xfId="0" applyFont="1" applyFill="1" applyBorder="1" applyAlignment="1">
      <x:alignment horizontal="center" vertical="center"/>
    </x:xf>
    <x:xf numFmtId="0" fontId="13" fillId="3" borderId="1" xfId="0" applyFont="1" applyFill="1" applyBorder="1" applyAlignment="1">
      <x:alignment horizontal="left"/>
    </x:xf>
    <x:xf numFmtId="0" fontId="14" fillId="0" borderId="0" xfId="0" applyFont="1" applyAlignment="1">
      <x:alignment horizontal="left" vertical="center"/>
    </x:xf>
    <x:xf numFmtId="0" fontId="15" fillId="2" borderId="1" xfId="0" applyFont="1" applyFill="1" applyBorder="1" applyAlignment="1">
      <x:alignment vertical="center"/>
    </x:xf>
    <x:xf numFmtId="0" fontId="15" fillId="2" borderId="1" xfId="0" applyFont="1" applyFill="1" applyBorder="1" applyAlignment="1">
      <x:alignment horizontal="center" vertical="center"/>
    </x:xf>
    <x:xf numFmtId="0" fontId="15" fillId="2" borderId="1" xfId="0" applyFont="1" applyFill="1" applyBorder="1" applyAlignment="1">
      <x:alignment horizontal="left" vertical="center"/>
    </x:xf>
    <x:xf numFmtId="0" fontId="16" fillId="2" borderId="1" xfId="0" applyFont="1" applyFill="1" applyBorder="1" applyAlignment="1">
      <x:alignment horizontal="left" vertical="center"/>
    </x:xf>
    <x:xf numFmtId="0" fontId="16" fillId="2" borderId="1" xfId="0" applyFont="1" applyFill="1" applyBorder="1" applyAlignment="1">
      <x:alignment vertical="center"/>
    </x:xf>
    <x:xf numFmtId="0" fontId="17" fillId="0" borderId="0" xfId="0" applyFont="1" applyAlignment="1">
      <x:alignment vertical="center"/>
    </x:xf>
    <x:xf numFmtId="0" fontId="18" fillId="3" borderId="1" xfId="0" applyFont="1" applyFill="1" applyBorder="1" applyAlignment="1">
      <x:alignment horizontal="center" vertical="center"/>
    </x:xf>
    <x:xf numFmtId="0" fontId="18" fillId="3" borderId="6" xfId="0" applyFont="1" applyFill="1" applyBorder="1" applyAlignment="1">
      <x:alignment horizontal="left" vertical="center"/>
    </x:xf>
    <x:xf numFmtId="0" fontId="18" fillId="3" borderId="1" xfId="0" applyFont="1" applyFill="1" applyBorder="1" applyAlignment="1">
      <x:alignment horizontal="left" vertical="center"/>
    </x:xf>
    <x:xf numFmtId="0" fontId="20" fillId="0" borderId="0" xfId="0" applyFont="1" applyAlignment="1">
      <x:alignment vertical="center"/>
    </x:xf>
    <x:xf numFmtId="0" fontId="22" fillId="3" borderId="6" xfId="0" applyFont="1" applyFill="1" applyBorder="1" applyAlignment="1">
      <x:alignment horizontal="left" vertical="center"/>
    </x:xf>
    <x:xf numFmtId="0" fontId="23" fillId="0" borderId="10" xfId="0" applyFont="1" applyBorder="1" applyAlignment="1">
      <x:alignment horizontal="center" vertical="center" wrapText="1"/>
    </x:xf>
    <x:xf numFmtId="0" fontId="25" fillId="3" borderId="1" xfId="0" applyFont="1" applyFill="1" applyBorder="1" applyAlignment="1">
      <x:alignment horizontal="center"/>
    </x:xf>
    <x:xf numFmtId="176" fontId="23" fillId="0" borderId="10" xfId="0" applyNumberFormat="1" applyFont="1" applyBorder="1" applyAlignment="1">
      <x:alignment horizontal="center" vertical="center" wrapText="1"/>
    </x:xf>
    <x:xf numFmtId="0" fontId="26" fillId="0" borderId="0" xfId="0" applyFont="1" applyAlignment="1">
      <x:alignment vertical="center"/>
    </x:xf>
    <x:xf numFmtId="0" fontId="25" fillId="3" borderId="1" xfId="0" applyFont="1" applyFill="1" applyBorder="1"/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176" fontId="28" fillId="0" borderId="0" xfId="0" applyNumberFormat="1" applyFont="1" applyAlignment="1">
      <x:alignment horizontal="center" vertical="center" wrapText="1"/>
    </x:xf>
    <x:xf numFmtId="3" fontId="28" fillId="0" borderId="0" xfId="0" applyNumberFormat="1" applyFont="1" applyAlignment="1">
      <x:alignment horizontal="center" vertical="center" wrapText="1"/>
    </x:xf>
    <x:xf numFmtId="0" fontId="30" fillId="0" borderId="0" xfId="0" applyFont="1" applyAlignment="1">
      <x:alignment vertical="center"/>
    </x:xf>
    <x:xf numFmtId="0" fontId="0" fillId="0" borderId="0" xfId="0" applyFont="1" applyAlignment="1">
      <x:alignment horizontal="center"/>
    </x:xf>
    <x:xf numFmtId="0" fontId="19" fillId="3" borderId="1" xfId="0" applyFont="1" applyFill="1" applyBorder="1" applyAlignment="1">
      <x:alignment vertical="center"/>
    </x:xf>
    <x:xf numFmtId="0" fontId="33" fillId="3" borderId="1" xfId="0" applyFont="1" applyFill="1" applyBorder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36" fillId="3" borderId="1" xfId="0" applyFont="1" applyFill="1" applyBorder="1" applyAlignment="1">
      <x:alignment horizontal="center" vertical="center" wrapText="1"/>
    </x:xf>
    <x:xf numFmtId="0" fontId="37" fillId="3" borderId="1" xfId="0" applyFont="1" applyFill="1" applyBorder="1" applyAlignment="1">
      <x:alignment horizontal="center" vertical="center" wrapText="1"/>
    </x:xf>
    <x:xf numFmtId="0" fontId="20" fillId="0" borderId="0" xfId="0" applyFont="1" applyAlignment="1">
      <x:alignment horizontal="center" vertical="center"/>
    </x:xf>
    <x:xf numFmtId="0" fontId="19" fillId="0" borderId="0" xfId="0" applyFont="1" applyAlignment="1">
      <x:alignment horizontal="center" vertical="center" wrapText="1"/>
    </x:xf>
    <x:xf numFmtId="176" fontId="19" fillId="0" borderId="0" xfId="0" applyNumberFormat="1" applyFont="1" applyAlignment="1">
      <x:alignment horizontal="center" vertical="center" wrapText="1"/>
    </x:xf>
    <x:xf numFmtId="3" fontId="19" fillId="0" borderId="0" xfId="0" applyNumberFormat="1" applyFont="1" applyAlignment="1">
      <x:alignment horizontal="center" vertical="center" wrapText="1"/>
    </x:xf>
    <x:xf numFmtId="0" fontId="24" fillId="0" borderId="15" xfId="0" applyFont="1" applyBorder="1" applyAlignment="1">
      <x:alignment horizontal="center" vertical="center" wrapText="1"/>
    </x:xf>
    <x:xf numFmtId="0" fontId="24" fillId="0" borderId="0" xfId="0" applyFont="1" applyAlignment="1">
      <x:alignment horizontal="center" vertical="center" wrapText="1"/>
    </x:xf>
    <x:xf numFmtId="0" fontId="39" fillId="0" borderId="0" xfId="0" applyFont="1" applyAlignment="1">
      <x:alignment horizontal="center" vertical="center"/>
    </x:xf>
    <x:xf numFmtId="0" fontId="40" fillId="0" borderId="0" xfId="0" applyFont="1" applyAlignment="1">
      <x:alignment horizontal="center" vertical="center"/>
    </x:xf>
    <x:xf numFmtId="0" fontId="28" fillId="0" borderId="0" xfId="0" applyFont="1" applyAlignment="1">
      <x:alignment horizontal="left" vertical="center" wrapText="1"/>
    </x:xf>
    <x:xf numFmtId="177" fontId="37" fillId="3" borderId="1" xfId="0" applyNumberFormat="1" applyFont="1" applyFill="1" applyBorder="1" applyAlignment="1">
      <x:alignment horizontal="center" vertical="center" wrapText="1"/>
    </x:xf>
    <x:xf numFmtId="0" fontId="21" fillId="2" borderId="16" xfId="0" applyFont="1" applyFill="1" applyBorder="1" applyAlignment="1">
      <x:alignment horizontal="left"/>
    </x:xf>
    <x:xf numFmtId="0" fontId="32" fillId="0" borderId="0" xfId="0" applyFont="1" applyAlignment="1">
      <x:alignment horizontal="center" vertical="center"/>
    </x:xf>
    <x:xf numFmtId="3" fontId="41" fillId="2" borderId="16" xfId="0" applyNumberFormat="1" applyFont="1" applyFill="1" applyBorder="1" applyAlignment="1">
      <x:alignment horizontal="left"/>
    </x:xf>
    <x:xf numFmtId="0" fontId="39" fillId="0" borderId="17" xfId="0" applyFont="1" applyBorder="1" applyAlignment="1">
      <x:alignment horizontal="center" vertical="center"/>
    </x:xf>
    <x:xf numFmtId="0" fontId="19" fillId="0" borderId="0" xfId="0" applyFont="1" applyAlignment="1">
      <x:alignment horizontal="left" vertical="center" wrapText="1"/>
    </x:xf>
    <x:xf numFmtId="0" fontId="34" fillId="3" borderId="1" xfId="0" applyFont="1" applyFill="1" applyBorder="1" applyAlignment="1">
      <x:alignment vertical="center"/>
    </x:xf>
    <x:xf numFmtId="176" fontId="19" fillId="0" borderId="0" xfId="0" applyNumberFormat="1" applyFont="1" applyAlignment="1">
      <x:alignment horizontal="left" vertical="center" wrapText="1"/>
    </x:xf>
    <x:xf numFmtId="176" fontId="28" fillId="0" borderId="0" xfId="0" applyNumberFormat="1" applyFont="1" applyAlignment="1">
      <x:alignment horizontal="left" vertical="center" wrapText="1"/>
    </x:xf>
    <x:xf numFmtId="0" fontId="45" fillId="0" borderId="0" xfId="0" applyFont="1" applyAlignment="1">
      <x:alignment horizontal="left" vertical="center"/>
    </x:xf>
    <x:xf numFmtId="0" fontId="46" fillId="2" borderId="16" xfId="0" applyFont="1" applyFill="1" applyBorder="1"/>
    <x:xf numFmtId="9" fontId="46" fillId="2" borderId="16" xfId="0" applyNumberFormat="1" applyFont="1" applyFill="1" applyBorder="1" applyAlignment="1">
      <x:alignment horizontal="center" wrapText="1"/>
    </x:xf>
    <x:xf numFmtId="178" fontId="47" fillId="2" borderId="16" xfId="0" applyNumberFormat="1" applyFont="1" applyFill="1" applyBorder="1" applyAlignment="1">
      <x:alignment horizontal="right" wrapText="1"/>
    </x:xf>
    <x:xf numFmtId="3" fontId="47" fillId="2" borderId="16" xfId="0" applyNumberFormat="1" applyFont="1" applyFill="1" applyBorder="1" applyAlignment="1">
      <x:alignment horizontal="center" wrapText="1"/>
    </x:xf>
    <x:xf numFmtId="0" fontId="35" fillId="0" borderId="0" xfId="0" applyFont="1" applyAlignment="1">
      <x:alignment horizontal="center" vertical="center"/>
    </x:xf>
    <x:xf numFmtId="0" fontId="30" fillId="0" borderId="0" xfId="0" applyFont="1" applyAlignment="1">
      <x:alignment horizontal="left" vertical="center" wrapText="1"/>
    </x:xf>
    <x:xf numFmtId="0" fontId="30" fillId="0" borderId="0" xfId="0" applyFont="1" applyAlignment="1">
      <x:alignment horizontal="left" vertical="center"/>
    </x:xf>
    <x:xf numFmtId="179" fontId="30" fillId="0" borderId="0" xfId="0" applyNumberFormat="1" applyFont="1" applyAlignment="1">
      <x:alignment horizontal="center" vertical="center" wrapText="1"/>
    </x:xf>
    <x:xf numFmtId="3" fontId="30" fillId="0" borderId="0" xfId="0" applyNumberFormat="1" applyFont="1" applyAlignment="1">
      <x:alignment horizontal="center" vertical="center" wrapText="1"/>
    </x:xf>
    <x:xf numFmtId="9" fontId="30" fillId="0" borderId="0" xfId="0" applyNumberFormat="1" applyFont="1" applyAlignment="1">
      <x:alignment horizontal="center" vertical="center"/>
    </x:xf>
    <x:xf numFmtId="9" fontId="30" fillId="0" borderId="0" xfId="0" applyNumberFormat="1" applyFont="1" applyAlignment="1">
      <x:alignment horizontal="left" vertical="center"/>
    </x:xf>
    <x:xf numFmtId="180" fontId="30" fillId="0" borderId="0" xfId="0" applyNumberFormat="1" applyFont="1" applyAlignment="1">
      <x:alignment vertical="center"/>
    </x:xf>
    <x:xf numFmtId="9" fontId="30" fillId="0" borderId="0" xfId="0" applyNumberFormat="1" applyFont="1" applyAlignment="1">
      <x:alignment horizontal="center" vertical="center" wrapText="1"/>
    </x:xf>
    <x:xf numFmtId="180" fontId="30" fillId="0" borderId="0" xfId="0" applyNumberFormat="1" applyFont="1" applyAlignment="1">
      <x:alignment horizontal="right" vertical="center" wrapText="1"/>
    </x:xf>
    <x:xf numFmtId="0" fontId="30" fillId="0" borderId="0" xfId="0" applyFont="1" applyAlignment="1">
      <x:alignment horizontal="center" vertical="center"/>
    </x:xf>
    <x:xf numFmtId="9" fontId="30" fillId="0" borderId="0" xfId="0" applyNumberFormat="1" applyFont="1" applyAlignment="1">
      <x:alignment horizontal="left" vertical="center" wrapText="1"/>
    </x:xf>
    <x:xf numFmtId="9" fontId="40" fillId="0" borderId="0" xfId="0" applyNumberFormat="1" applyFont="1" applyAlignment="1">
      <x:alignment horizontal="center" vertical="center" wrapText="1"/>
    </x:xf>
    <x:xf numFmtId="0" fontId="30" fillId="0" borderId="0" xfId="0" applyFont="1" applyAlignment="1">
      <x:alignment horizontal="center" vertical="center" wrapText="1"/>
    </x:xf>
    <x:xf numFmtId="9" fontId="40" fillId="0" borderId="0" xfId="0" applyNumberFormat="1" applyFont="1" applyAlignment="1">
      <x:alignment horizontal="left" vertical="center"/>
    </x:xf>
    <x:xf numFmtId="180" fontId="40" fillId="0" borderId="0" xfId="0" applyNumberFormat="1" applyFont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18" xfId="0" applyFont="1" applyBorder="1" applyAlignment="1">
      <x:alignment horizontal="center" vertical="center" wrapText="1"/>
    </x:xf>
    <x:xf numFmtId="176" fontId="19" fillId="0" borderId="18" xfId="0" applyNumberFormat="1" applyFont="1" applyBorder="1" applyAlignment="1">
      <x:alignment horizontal="center" vertical="center" wrapText="1"/>
    </x:xf>
    <x:xf numFmtId="3" fontId="19" fillId="0" borderId="18" xfId="0" applyNumberFormat="1" applyFont="1" applyBorder="1" applyAlignment="1">
      <x:alignment horizontal="center" vertical="center" wrapText="1"/>
    </x:xf>
    <x:xf numFmtId="0" fontId="24" fillId="0" borderId="18" xfId="0" applyFont="1" applyBorder="1" applyAlignment="1">
      <x:alignment horizontal="center" vertical="center" wrapText="1"/>
    </x:xf>
    <x:xf numFmtId="0" fontId="38" fillId="0" borderId="18" xfId="0" applyFont="1" applyBorder="1" applyAlignment="1">
      <x:alignment horizontal="center" vertical="center" wrapText="1"/>
    </x:xf>
    <x:xf numFmtId="0" fontId="38" fillId="0" borderId="18" xfId="0" applyFont="1" applyBorder="1" applyAlignment="1">
      <x:alignment horizontal="center" vertical="center" wrapText="1"/>
    </x:xf>
    <x:xf numFmtId="0" fontId="28" fillId="0" borderId="18" xfId="0" applyFont="1" applyBorder="1" applyAlignment="1">
      <x:alignment horizontal="center" vertical="center" wrapText="1"/>
    </x:xf>
    <x:xf numFmtId="176" fontId="28" fillId="0" borderId="18" xfId="0" applyNumberFormat="1" applyFont="1" applyBorder="1" applyAlignment="1">
      <x:alignment horizontal="center" vertical="center" wrapText="1"/>
    </x:xf>
    <x:xf numFmtId="0" fontId="28" fillId="0" borderId="18" xfId="0" applyFont="1" applyBorder="1" applyAlignment="1">
      <x:alignment horizontal="center" vertical="center" wrapText="1"/>
    </x:xf>
    <x:xf numFmtId="0" fontId="39" fillId="0" borderId="18" xfId="0" applyFont="1" applyBorder="1" applyAlignment="1">
      <x:alignment horizontal="center" vertical="center"/>
    </x:xf>
    <x:xf numFmtId="0" fontId="40" fillId="0" borderId="11" xfId="0" applyFont="1" applyBorder="1" applyAlignment="1">
      <x:alignment horizontal="center" vertical="center"/>
    </x:xf>
    <x:xf numFmtId="0" fontId="0" fillId="0" borderId="18" xfId="0" applyFont="1" applyBorder="1" applyAlignment="1">
      <x:alignment horizontal="center"/>
    </x:xf>
    <x:xf numFmtId="3" fontId="31" fillId="2" borderId="11" xfId="0" applyNumberFormat="1" applyFont="1" applyFill="1" applyBorder="1" applyAlignment="1">
      <x:alignment horizontal="left"/>
    </x:xf>
    <x:xf numFmtId="0" fontId="21" fillId="2" borderId="11" xfId="0" applyFont="1" applyFill="1" applyBorder="1" applyAlignment="1">
      <x:alignment horizontal="left"/>
    </x:xf>
    <x:xf numFmtId="0" fontId="20" fillId="0" borderId="11" xfId="0" applyFont="1" applyBorder="1" applyAlignment="1">
      <x:alignment vertical="center"/>
    </x:xf>
    <x:xf numFmtId="0" fontId="32" fillId="0" borderId="18" xfId="0" applyFont="1" applyBorder="1" applyAlignment="1">
      <x:alignment horizontal="center" vertical="center" wrapText="1"/>
    </x:xf>
    <x:xf numFmtId="176" fontId="38" fillId="0" borderId="18" xfId="0" applyNumberFormat="1" applyFont="1" applyBorder="1" applyAlignment="1">
      <x:alignment horizontal="center" vertical="center" wrapText="1"/>
    </x:xf>
    <x:xf numFmtId="3" fontId="38" fillId="0" borderId="18" xfId="0" applyNumberFormat="1" applyFont="1" applyBorder="1" applyAlignment="1">
      <x:alignment horizontal="center" vertical="center" wrapText="1"/>
    </x:xf>
    <x:xf numFmtId="0" fontId="29" fillId="0" borderId="18" xfId="0" applyFont="1" applyBorder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26" fillId="0" borderId="0" xfId="0" applyFont="1" applyAlignment="1">
      <x:alignment horizontal="center" vertical="center"/>
    </x:xf>
    <x:xf numFmtId="0" fontId="27" fillId="0" borderId="0" xfId="0" applyFont="1" applyAlignment="1">
      <x:alignment horizontal="center" vertical="center"/>
    </x:xf>
    <x:xf numFmtId="0" fontId="56" fillId="0" borderId="0" xfId="0" applyFont="1" applyAlignment="1">
      <x:alignment horizontal="center" vertical="center"/>
    </x:xf>
    <x:xf numFmtId="0" fontId="49" fillId="0" borderId="0" xfId="0" applyFont="1" applyAlignment="1">
      <x:alignment horizontal="center" vertical="center"/>
    </x:xf>
    <x:xf numFmtId="0" fontId="33" fillId="3" borderId="11" xfId="0" applyFont="1" applyFill="1" applyBorder="1" applyAlignment="1">
      <x:alignment horizontal="center" vertical="center"/>
    </x:xf>
    <x:xf numFmtId="0" fontId="28" fillId="0" borderId="11" xfId="0" applyFont="1" applyBorder="1" applyAlignment="1">
      <x:alignment horizontal="center" vertical="center" wrapText="1"/>
    </x:xf>
    <x:xf numFmtId="176" fontId="28" fillId="0" borderId="11" xfId="0" applyNumberFormat="1" applyFont="1" applyBorder="1" applyAlignment="1">
      <x:alignment horizontal="center" vertical="center" wrapText="1"/>
    </x:xf>
    <x:xf numFmtId="3" fontId="28" fillId="0" borderId="11" xfId="0" applyNumberFormat="1" applyFont="1" applyBorder="1" applyAlignment="1">
      <x:alignment horizontal="center" vertical="center" wrapText="1"/>
    </x:xf>
    <x:xf numFmtId="0" fontId="0" fillId="0" borderId="11" xfId="0" applyFont="1" applyBorder="1" applyAlignment="1"/>
    <x:xf numFmtId="0" fontId="39" fillId="0" borderId="11" xfId="0" applyFont="1" applyBorder="1" applyAlignment="1">
      <x:alignment horizontal="center" vertical="center"/>
    </x:xf>
    <x:xf numFmtId="0" fontId="25" fillId="3" borderId="11" xfId="0" applyFont="1" applyFill="1" applyBorder="1"/>
    <x:xf numFmtId="0" fontId="13" fillId="3" borderId="11" xfId="0" applyFont="1" applyFill="1" applyBorder="1" applyAlignment="1">
      <x:alignment horizontal="left"/>
    </x:xf>
    <x:xf numFmtId="0" fontId="36" fillId="3" borderId="7" xfId="0" applyFont="1" applyFill="1" applyBorder="1" applyAlignment="1">
      <x:alignment horizontal="center" vertical="center" wrapText="1"/>
    </x:xf>
    <x:xf numFmtId="0" fontId="9" fillId="0" borderId="11" xfId="0" applyFont="1" applyBorder="1"/>
    <x:xf numFmtId="0" fontId="38" fillId="0" borderId="18" xfId="0" applyFont="1" applyBorder="1" applyAlignment="1">
      <x:alignment horizontal="center" vertical="center" wrapText="1"/>
    </x:xf>
    <x:xf numFmtId="0" fontId="32" fillId="0" borderId="18" xfId="0" applyFont="1" applyBorder="1" applyAlignment="1">
      <x:alignment vertical="center"/>
    </x:xf>
    <x:xf numFmtId="3" fontId="32" fillId="0" borderId="18" xfId="0" applyNumberFormat="1" applyFont="1" applyBorder="1" applyAlignment="1">
      <x:alignment horizontal="center" vertical="center"/>
    </x:xf>
    <x:xf numFmtId="0" fontId="0" fillId="0" borderId="0" xfId="0" applyFont="1" applyAlignment="1"/>
    <x:xf numFmtId="0" fontId="60" fillId="0" borderId="10" xfId="0" applyFont="1" applyBorder="1" applyAlignment="1">
      <x:alignment horizontal="center" vertical="center" wrapText="1"/>
    </x:xf>
    <x:xf numFmtId="0" fontId="24" fillId="0" borderId="18" xfId="0" applyFont="1" applyFill="1" applyBorder="1" applyAlignment="1">
      <x:alignment horizontal="center" vertical="center" wrapText="1"/>
    </x:xf>
    <x:xf numFmtId="0" fontId="64" fillId="3" borderId="6" xfId="0" applyFont="1" applyFill="1" applyBorder="1" applyAlignment="1">
      <x:alignment horizontal="left" vertical="center"/>
    </x:xf>
    <x:xf numFmtId="41" fontId="65" fillId="0" borderId="18" xfId="2" applyFont="1" applyBorder="1" applyAlignment="1">
      <x:alignment horizontal="center" vertical="center" wrapText="1"/>
    </x:xf>
    <x:xf numFmtId="0" fontId="38" fillId="0" borderId="18" xfId="0" applyFont="1" applyBorder="1" applyAlignment="1">
      <x:alignment vertical="center" wrapText="1"/>
    </x:xf>
    <x:xf numFmtId="0" fontId="66" fillId="2" borderId="11" xfId="0" applyFont="1" applyFill="1" applyBorder="1" applyAlignment="1">
      <x:alignment horizontal="left"/>
    </x:xf>
    <x:xf numFmtId="0" fontId="36" fillId="3" borderId="7" xfId="0" applyFont="1" applyFill="1" applyBorder="1" applyAlignment="1">
      <x:alignment horizontal="center" vertical="center" wrapText="1"/>
    </x:xf>
    <x:xf numFmtId="0" fontId="0" fillId="0" borderId="0" xfId="0" applyFont="1" applyAlignment="1"/>
    <x:xf numFmtId="0" fontId="28" fillId="0" borderId="0" xfId="0" applyFont="1" applyAlignment="1">
      <x:alignment horizontal="center" vertical="center" wrapText="1"/>
    </x:xf>
    <x:xf numFmtId="0" fontId="32" fillId="0" borderId="0" xfId="0" applyFont="1" applyAlignment="1">
      <x:alignment vertical="center"/>
    </x:xf>
    <x:xf numFmtId="0" fontId="32" fillId="0" borderId="21" xfId="0" applyFont="1" applyBorder="1" applyAlignment="1">
      <x:alignment vertical="center"/>
    </x:xf>
    <x:xf numFmtId="41" fontId="0" fillId="0" borderId="11" xfId="2" applyFont="1" applyBorder="1" applyAlignment="1"/>
    <x:xf numFmtId="0" fontId="68" fillId="0" borderId="0" xfId="0" applyFont="1" applyAlignment="1">
      <x:alignment horizontal="center"/>
    </x:xf>
    <x:xf numFmtId="0" fontId="69" fillId="0" borderId="18" xfId="1" applyFont="1" applyFill="1" applyBorder="1">
      <x:alignment vertical="center"/>
    </x:xf>
    <x:xf numFmtId="0" fontId="70" fillId="0" borderId="18" xfId="1" applyFont="1" applyFill="1" applyBorder="1" applyAlignment="1">
      <x:alignment horizontal="center" vertical="center"/>
    </x:xf>
    <x:xf numFmtId="0" fontId="69" fillId="0" borderId="11" xfId="1" applyFont="1" applyFill="1">
      <x:alignment vertical="center"/>
    </x:xf>
    <x:xf numFmtId="0" fontId="70" fillId="6" borderId="18" xfId="1" applyFont="1" applyFill="1" applyBorder="1" applyAlignment="1">
      <x:alignment horizontal="center" vertical="center"/>
    </x:xf>
    <x:xf numFmtId="0" fontId="70" fillId="8" borderId="18" xfId="1" applyFont="1" applyFill="1" applyBorder="1" applyAlignment="1">
      <x:alignment horizontal="center" vertical="center"/>
    </x:xf>
    <x:xf numFmtId="0" fontId="69" fillId="8" borderId="18" xfId="1" applyFont="1" applyFill="1" applyBorder="1">
      <x:alignment vertical="center"/>
    </x:xf>
    <x:xf numFmtId="0" fontId="71" fillId="0" borderId="0" xfId="0" applyFont="1" applyAlignment="1"/>
    <x:xf numFmtId="0" fontId="71" fillId="0" borderId="0" xfId="0" applyFont="1" applyAlignment="1">
      <x:alignment horizontal="center"/>
    </x:xf>
    <x:xf numFmtId="0" fontId="73" fillId="0" borderId="11" xfId="1" applyFont="1" applyFill="1">
      <x:alignment vertical="center"/>
    </x:xf>
    <x:xf numFmtId="0" fontId="68" fillId="0" borderId="18" xfId="0" applyFont="1" applyBorder="1" applyAlignment="1">
      <x:alignment horizontal="center"/>
    </x:xf>
    <x:xf numFmtId="0" fontId="68" fillId="6" borderId="18" xfId="0" applyFont="1" applyFill="1" applyBorder="1" applyAlignment="1">
      <x:alignment horizontal="center"/>
    </x:xf>
    <x:xf numFmtId="0" fontId="67" fillId="6" borderId="18" xfId="1" applyFont="1" applyFill="1" applyBorder="1" applyAlignment="1">
      <x:alignment horizontal="left" vertical="center"/>
    </x:xf>
    <x:xf numFmtId="41" fontId="68" fillId="6" borderId="18" xfId="0" applyNumberFormat="1" applyFont="1" applyFill="1" applyBorder="1" applyAlignment="1">
      <x:alignment horizontal="center"/>
    </x:xf>
    <x:xf numFmtId="0" fontId="67" fillId="0" borderId="18" xfId="1" applyFont="1" applyFill="1" applyBorder="1" applyAlignment="1">
      <x:alignment horizontal="left" vertical="center"/>
    </x:xf>
    <x:xf numFmtId="41" fontId="68" fillId="0" borderId="18" xfId="0" applyNumberFormat="1" applyFont="1" applyBorder="1" applyAlignment="1">
      <x:alignment horizontal="center"/>
    </x:xf>
    <x:xf numFmtId="0" fontId="68" fillId="8" borderId="18" xfId="0" applyFont="1" applyFill="1" applyBorder="1" applyAlignment="1">
      <x:alignment horizontal="center"/>
    </x:xf>
    <x:xf numFmtId="0" fontId="67" fillId="8" borderId="18" xfId="1" applyFont="1" applyFill="1" applyBorder="1" applyAlignment="1">
      <x:alignment horizontal="left" vertical="center"/>
    </x:xf>
    <x:xf numFmtId="41" fontId="68" fillId="8" borderId="18" xfId="0" applyNumberFormat="1" applyFont="1" applyFill="1" applyBorder="1" applyAlignment="1">
      <x:alignment horizontal="center"/>
    </x:xf>
    <x:xf numFmtId="0" fontId="68" fillId="0" borderId="0" xfId="0" applyFont="1" applyAlignment="1"/>
    <x:xf numFmtId="41" fontId="68" fillId="0" borderId="18" xfId="2" applyFont="1" applyBorder="1" applyAlignment="1"/>
    <x:xf numFmtId="0" fontId="68" fillId="0" borderId="26" xfId="0" applyFont="1" applyBorder="1" applyAlignment="1">
      <x:alignment horizontal="center"/>
    </x:xf>
    <x:xf numFmtId="0" fontId="68" fillId="0" borderId="26" xfId="0" applyFont="1" applyBorder="1" applyAlignment="1">
      <x:alignment horizontal="center" vertical="center"/>
    </x:xf>
    <x:xf numFmtId="41" fontId="69" fillId="0" borderId="18" xfId="2" applyFont="1" applyFill="1" applyBorder="1">
      <x:alignment vertical="center"/>
    </x:xf>
    <x:xf numFmtId="41" fontId="69" fillId="0" borderId="11" xfId="2" applyFont="1" applyFill="1" applyBorder="1">
      <x:alignment vertical="center"/>
    </x:xf>
    <x:xf numFmtId="181" fontId="69" fillId="0" borderId="18" xfId="2" applyNumberFormat="1" applyFont="1" applyFill="1" applyBorder="1">
      <x:alignment vertical="center"/>
    </x:xf>
    <x:xf numFmtId="181" fontId="69" fillId="0" borderId="11" xfId="2" applyNumberFormat="1" applyFont="1" applyFill="1" applyBorder="1">
      <x:alignment vertical="center"/>
    </x:xf>
    <x:xf numFmtId="0" fontId="36" fillId="3" borderId="7" xfId="0" applyFont="1" applyFill="1" applyBorder="1" applyAlignment="1">
      <x:alignment horizontal="center" vertical="center" wrapText="1"/>
    </x:xf>
    <x:xf numFmtId="0" fontId="0" fillId="0" borderId="0" xfId="0" applyFont="1" applyAlignment="1"/>
    <x:xf numFmtId="0" fontId="28" fillId="0" borderId="0" xfId="0" applyFont="1" applyAlignment="1">
      <x:alignment horizontal="center" vertical="center" wrapText="1"/>
    </x:xf>
    <x:xf numFmtId="0" fontId="69" fillId="6" borderId="18" xfId="1" applyFont="1" applyFill="1" applyBorder="1">
      <x:alignment vertical="center"/>
    </x:xf>
    <x:xf numFmtId="0" fontId="68" fillId="0" borderId="18" xfId="0" applyFont="1" applyBorder="1" applyAlignment="1"/>
    <x:xf numFmtId="0" fontId="71" fillId="0" borderId="18" xfId="0" applyFont="1" applyBorder="1" applyAlignment="1"/>
    <x:xf numFmtId="41" fontId="71" fillId="0" borderId="18" xfId="0" applyNumberFormat="1" applyFont="1" applyBorder="1" applyAlignment="1"/>
    <x:xf numFmtId="0" fontId="69" fillId="0" borderId="11" xfId="1" applyFont="1" applyFill="1" applyAlignment="1">
      <x:alignment horizontal="center" vertical="center"/>
    </x:xf>
    <x:xf numFmtId="0" fontId="69" fillId="0" borderId="18" xfId="1" applyFont="1" applyFill="1" applyBorder="1" applyAlignment="1">
      <x:alignment horizontal="center" vertical="center"/>
    </x:xf>
    <x:xf numFmtId="0" fontId="0" fillId="0" borderId="0" xfId="0" applyFont="1" applyAlignment="1"/>
    <x:xf numFmtId="0" fontId="69" fillId="6" borderId="18" xfId="0" applyFont="1" applyFill="1" applyBorder="1" applyAlignment="1">
      <x:alignment horizontal="center" vertical="center"/>
    </x:xf>
    <x:xf numFmtId="41" fontId="69" fillId="6" borderId="18" xfId="2" applyFont="1" applyFill="1" applyBorder="1" applyAlignment="1">
      <x:alignment horizontal="center" vertical="center"/>
    </x:xf>
    <x:xf numFmtId="14" fontId="69" fillId="6" borderId="18" xfId="0" applyNumberFormat="1" applyFont="1" applyFill="1" applyBorder="1" applyAlignment="1">
      <x:alignment horizontal="center" vertical="center"/>
    </x:xf>
    <x:xf numFmtId="14" fontId="69" fillId="8" borderId="18" xfId="0" applyNumberFormat="1" applyFont="1" applyFill="1" applyBorder="1" applyAlignment="1">
      <x:alignment horizontal="center" vertical="center"/>
    </x:xf>
    <x:xf numFmtId="0" fontId="0" fillId="0" borderId="0" xfId="0" applyFont="1" applyAlignment="1"/>
    <x:xf numFmtId="0" fontId="19" fillId="0" borderId="11" xfId="0" applyFont="1" applyBorder="1" applyAlignment="1">
      <x:alignment horizontal="center" vertical="center" wrapText="1"/>
    </x:xf>
    <x:xf numFmtId="176" fontId="19" fillId="0" borderId="11" xfId="0" applyNumberFormat="1" applyFont="1" applyBorder="1" applyAlignment="1">
      <x:alignment horizontal="center" vertical="center" wrapText="1"/>
    </x:xf>
    <x:xf numFmtId="0" fontId="0" fillId="0" borderId="11" xfId="0" applyFont="1" applyBorder="1" applyAlignment="1">
      <x:alignment horizontal="center"/>
    </x:xf>
    <x:xf numFmtId="3" fontId="19" fillId="0" borderId="11" xfId="0" applyNumberFormat="1" applyFont="1" applyBorder="1" applyAlignment="1">
      <x:alignment horizontal="center" vertical="center" wrapText="1"/>
    </x:xf>
    <x:xf numFmtId="0" fontId="32" fillId="0" borderId="11" xfId="0" applyFont="1" applyBorder="1" applyAlignment="1">
      <x:alignment horizontal="center" vertical="center"/>
    </x:xf>
    <x:xf numFmtId="0" fontId="32" fillId="0" borderId="11" xfId="0" applyFont="1" applyBorder="1" applyAlignment="1">
      <x:alignment vertical="center"/>
    </x:xf>
    <x:xf numFmtId="0" fontId="24" fillId="0" borderId="11" xfId="0" applyFont="1" applyBorder="1" applyAlignment="1">
      <x:alignment horizontal="center" vertical="center" wrapText="1"/>
    </x:xf>
    <x:xf numFmtId="0" fontId="70" fillId="7" borderId="38" xfId="0" applyFont="1" applyFill="1" applyBorder="1" applyAlignment="1">
      <x:alignment horizontal="center" vertical="center"/>
    </x:xf>
    <x:xf numFmtId="0" fontId="70" fillId="7" borderId="39" xfId="0" applyFont="1" applyFill="1" applyBorder="1" applyAlignment="1">
      <x:alignment horizontal="center" vertical="center"/>
    </x:xf>
    <x:xf numFmtId="0" fontId="70" fillId="7" borderId="39" xfId="1" applyFont="1" applyFill="1" applyBorder="1" applyAlignment="1">
      <x:alignment horizontal="center" vertical="center"/>
    </x:xf>
    <x:xf numFmtId="41" fontId="70" fillId="7" borderId="39" xfId="2" applyFont="1" applyFill="1" applyBorder="1" applyAlignment="1">
      <x:alignment horizontal="center" vertical="center"/>
    </x:xf>
    <x:xf numFmtId="0" fontId="70" fillId="7" borderId="40" xfId="1" applyFont="1" applyFill="1" applyBorder="1" applyAlignment="1">
      <x:alignment horizontal="center" vertical="center"/>
    </x:xf>
    <x:xf numFmtId="41" fontId="69" fillId="8" borderId="18" xfId="2" applyFont="1" applyFill="1" applyBorder="1" applyAlignment="1">
      <x:alignment horizontal="center" vertical="center"/>
    </x:xf>
    <x:xf numFmtId="0" fontId="70" fillId="7" borderId="18" xfId="1" applyFont="1" applyFill="1" applyBorder="1" applyAlignment="1">
      <x:alignment horizontal="center" vertical="center"/>
    </x:xf>
    <x:xf numFmtId="181" fontId="70" fillId="7" borderId="18" xfId="2" applyNumberFormat="1" applyFont="1" applyFill="1" applyBorder="1" applyAlignment="1">
      <x:alignment horizontal="center" vertical="center"/>
    </x:xf>
    <x:xf numFmtId="41" fontId="70" fillId="7" borderId="18" xfId="2" applyFont="1" applyFill="1" applyBorder="1" applyAlignment="1">
      <x:alignment horizontal="center" vertical="center"/>
    </x:xf>
    <x:xf numFmtId="0" fontId="76" fillId="0" borderId="18" xfId="0" applyFont="1" applyBorder="1" applyAlignment="1"/>
    <x:xf numFmtId="0" fontId="69" fillId="0" borderId="18" xfId="1" applyFont="1" applyFill="1" applyBorder="1" applyAlignment="1">
      <x:alignment horizontal="center" vertical="center"/>
    </x:xf>
    <x:xf numFmtId="0" fontId="69" fillId="6" borderId="18" xfId="1" applyFont="1" applyFill="1" applyBorder="1" applyAlignment="1">
      <x:alignment horizontal="center" vertical="center"/>
    </x:xf>
    <x:xf numFmtId="0" fontId="69" fillId="8" borderId="18" xfId="1" applyFont="1" applyFill="1" applyBorder="1" applyAlignment="1">
      <x:alignment horizontal="center" vertical="center"/>
    </x:xf>
    <x:xf numFmtId="0" fontId="69" fillId="8" borderId="18" xfId="0" applyFont="1" applyFill="1" applyBorder="1" applyAlignment="1">
      <x:alignment horizontal="center" vertical="center"/>
    </x:xf>
    <x:xf numFmtId="181" fontId="69" fillId="8" borderId="18" xfId="2" applyNumberFormat="1" applyFont="1" applyFill="1" applyBorder="1" applyAlignment="1">
      <x:alignment horizontal="center" vertical="center"/>
    </x:xf>
    <x:xf numFmtId="181" fontId="69" fillId="0" borderId="18" xfId="2" applyNumberFormat="1" applyFont="1" applyFill="1" applyBorder="1" applyAlignment="1">
      <x:alignment horizontal="center" vertical="center"/>
    </x:xf>
    <x:xf numFmtId="41" fontId="69" fillId="0" borderId="18" xfId="2" applyFont="1" applyFill="1" applyBorder="1" applyAlignment="1">
      <x:alignment horizontal="center" vertical="center"/>
    </x:xf>
    <x:xf numFmtId="181" fontId="69" fillId="6" borderId="18" xfId="2" applyNumberFormat="1" applyFont="1" applyFill="1" applyBorder="1" applyAlignment="1">
      <x:alignment horizontal="center" vertical="center"/>
    </x:xf>
    <x:xf numFmtId="0" fontId="69" fillId="8" borderId="18" xfId="1" applyFont="1" applyFill="1" applyBorder="1" applyAlignment="1">
      <x:alignment horizontal="left" vertical="center"/>
    </x:xf>
    <x:xf numFmtId="0" fontId="69" fillId="6" borderId="18" xfId="1" applyFont="1" applyFill="1" applyBorder="1" applyAlignment="1">
      <x:alignment horizontal="left" vertical="center"/>
    </x:xf>
    <x:xf numFmtId="0" fontId="69" fillId="6" borderId="18" xfId="1" applyFont="1" applyFill="1" applyBorder="1" applyAlignment="1">
      <x:alignment horizontal="center" vertical="center" wrapText="1"/>
    </x:xf>
    <x:xf numFmtId="0" fontId="69" fillId="0" borderId="18" xfId="1" applyFont="1" applyFill="1" applyBorder="1" applyAlignment="1">
      <x:alignment horizontal="left" vertical="center"/>
    </x:xf>
    <x:xf numFmtId="0" fontId="69" fillId="0" borderId="18" xfId="1" applyFont="1" applyFill="1" applyBorder="1" applyAlignment="1">
      <x:alignment horizontal="center" vertical="center"/>
    </x:xf>
    <x:xf numFmtId="0" fontId="69" fillId="6" borderId="18" xfId="1" applyFont="1" applyFill="1" applyBorder="1" applyAlignment="1">
      <x:alignment horizontal="center" vertical="center"/>
    </x:xf>
    <x:xf numFmtId="0" fontId="69" fillId="8" borderId="18" xfId="1" applyFont="1" applyFill="1" applyBorder="1" applyAlignment="1">
      <x:alignment horizontal="center" vertical="center"/>
    </x:xf>
    <x:xf numFmtId="0" fontId="72" fillId="5" borderId="27" xfId="0" applyFont="1" applyFill="1" applyBorder="1" applyAlignment="1">
      <x:alignment horizontal="center" vertical="center"/>
    </x:xf>
    <x:xf numFmtId="0" fontId="74" fillId="5" borderId="28" xfId="0" applyFont="1" applyFill="1" applyBorder="1" applyAlignment="1">
      <x:alignment horizontal="center" vertical="center"/>
    </x:xf>
    <x:xf numFmtId="0" fontId="74" fillId="5" borderId="29" xfId="0" applyFont="1" applyFill="1" applyBorder="1" applyAlignment="1">
      <x:alignment horizontal="center" vertical="center"/>
    </x:xf>
    <x:xf numFmtId="0" fontId="72" fillId="5" borderId="18" xfId="1" applyFont="1" applyFill="1" applyBorder="1" applyAlignment="1">
      <x:alignment horizontal="center" vertical="center"/>
    </x:xf>
    <x:xf numFmtId="0" fontId="69" fillId="8" borderId="18" xfId="0" applyFont="1" applyFill="1" applyBorder="1" applyAlignment="1">
      <x:alignment horizontal="center" vertical="center"/>
    </x:xf>
    <x:xf numFmtId="0" fontId="69" fillId="6" borderId="18" xfId="0" applyFont="1" applyFill="1" applyBorder="1" applyAlignment="1">
      <x:alignment horizontal="center" vertical="center"/>
    </x:xf>
    <x:xf numFmtId="41" fontId="69" fillId="6" borderId="18" xfId="2" applyFont="1" applyFill="1" applyBorder="1" applyAlignment="1">
      <x:alignment horizontal="center" vertical="center"/>
    </x:xf>
    <x:xf numFmtId="41" fontId="69" fillId="8" borderId="18" xfId="2" applyFont="1" applyFill="1" applyBorder="1" applyAlignment="1">
      <x:alignment horizontal="center" vertical="center"/>
    </x:xf>
    <x:xf numFmtId="0" fontId="8" fillId="2" borderId="2" xfId="0" applyFont="1" applyFill="1" applyBorder="1" applyAlignment="1">
      <x:alignment horizontal="left" vertical="center"/>
    </x:xf>
    <x:xf numFmtId="0" fontId="9" fillId="0" borderId="3" xfId="0" applyFont="1" applyBorder="1"/>
    <x:xf numFmtId="0" fontId="9" fillId="0" borderId="4" xfId="0" applyFont="1" applyBorder="1"/>
    <x:xf numFmtId="0" fontId="12" fillId="2" borderId="2" xfId="0" applyFont="1" applyFill="1" applyBorder="1" applyAlignment="1">
      <x:alignment vertical="center" wrapText="1"/>
    </x:xf>
    <x:xf numFmtId="0" fontId="35" fillId="4" borderId="7" xfId="0" applyFont="1" applyFill="1" applyBorder="1" applyAlignment="1">
      <x:alignment horizontal="center" vertical="center" wrapText="1"/>
    </x:xf>
    <x:xf numFmtId="0" fontId="9" fillId="0" borderId="8" xfId="0" applyFont="1" applyBorder="1"/>
    <x:xf numFmtId="0" fontId="9" fillId="0" borderId="9" xfId="0" applyFont="1" applyBorder="1"/>
    <x:xf numFmtId="0" fontId="49" fillId="2" borderId="11" xfId="0" applyFont="1" applyFill="1" applyBorder="1" applyAlignment="1">
      <x:alignment horizontal="left"/>
    </x:xf>
    <x:xf numFmtId="0" fontId="9" fillId="0" borderId="11" xfId="0" applyFont="1" applyBorder="1"/>
    <x:xf numFmtId="0" fontId="36" fillId="3" borderId="7" xfId="0" applyFont="1" applyFill="1" applyBorder="1" applyAlignment="1">
      <x:alignment horizontal="center" vertical="center" wrapText="1"/>
    </x:xf>
    <x:xf numFmtId="0" fontId="32" fillId="0" borderId="19" xfId="0" applyFont="1" applyBorder="1" applyAlignment="1">
      <x:alignment horizontal="center" vertical="center"/>
    </x:xf>
    <x:xf numFmtId="0" fontId="32" fillId="0" borderId="20" xfId="0" applyFont="1" applyBorder="1" applyAlignment="1">
      <x:alignment horizontal="center" vertical="center"/>
    </x:xf>
    <x:xf numFmtId="0" fontId="28" fillId="0" borderId="0" xfId="0" applyFont="1" applyAlignment="1">
      <x:alignment horizontal="left" vertical="center" wrapText="1"/>
    </x:xf>
    <x:xf numFmtId="0" fontId="0" fillId="0" borderId="0" xfId="0" applyFont="1" applyAlignment="1"/>
    <x:xf numFmtId="0" fontId="32" fillId="0" borderId="19" xfId="0" applyFont="1" applyBorder="1" applyAlignment="1">
      <x:alignment horizontal="left" vertical="center"/>
    </x:xf>
    <x:xf numFmtId="0" fontId="32" fillId="0" borderId="20" xfId="0" applyFont="1" applyBorder="1" applyAlignment="1">
      <x:alignment horizontal="left" vertical="center"/>
    </x:xf>
    <x:xf numFmtId="0" fontId="12" fillId="2" borderId="5" xfId="0" applyFont="1" applyFill="1" applyBorder="1" applyAlignment="1">
      <x:alignment vertical="center" wrapText="1"/>
    </x:xf>
    <x:xf numFmtId="0" fontId="38" fillId="0" borderId="19" xfId="0" applyFont="1" applyBorder="1" applyAlignment="1">
      <x:alignment horizontal="left" vertical="center" wrapText="1"/>
    </x:xf>
    <x:xf numFmtId="0" fontId="38" fillId="0" borderId="20" xfId="0" applyFont="1" applyBorder="1" applyAlignment="1">
      <x:alignment horizontal="left" vertical="center" wrapText="1"/>
    </x:xf>
    <x:xf numFmtId="0" fontId="38" fillId="0" borderId="22" xfId="0" applyFont="1" applyBorder="1" applyAlignment="1">
      <x:alignment horizontal="left" vertical="center" wrapText="1"/>
    </x:xf>
    <x:xf numFmtId="0" fontId="38" fillId="0" borderId="19" xfId="0" applyFont="1" applyBorder="1" applyAlignment="1">
      <x:alignment horizontal="center" vertical="center" wrapText="1"/>
    </x:xf>
    <x:xf numFmtId="0" fontId="38" fillId="0" borderId="20" xfId="0" applyFont="1" applyBorder="1" applyAlignment="1">
      <x:alignment horizontal="center" vertical="center" wrapText="1"/>
    </x:xf>
    <x:xf numFmtId="0" fontId="38" fillId="0" borderId="22" xfId="0" applyFont="1" applyBorder="1" applyAlignment="1">
      <x:alignment horizontal="center" vertical="center" wrapText="1"/>
    </x:xf>
    <x:xf numFmtId="0" fontId="32" fillId="0" borderId="21" xfId="0" applyFont="1" applyBorder="1" applyAlignment="1">
      <x:alignment horizontal="center" vertical="center"/>
    </x:xf>
    <x:xf numFmtId="0" fontId="21" fillId="2" borderId="12" xfId="0" applyFont="1" applyFill="1" applyBorder="1" applyAlignment="1">
      <x:alignment horizontal="left"/>
    </x:xf>
    <x:xf numFmtId="0" fontId="9" fillId="0" borderId="13" xfId="0" applyFont="1" applyBorder="1"/>
    <x:xf numFmtId="0" fontId="38" fillId="0" borderId="23" xfId="0" applyFont="1" applyBorder="1" applyAlignment="1">
      <x:alignment horizontal="center" vertical="center" wrapText="1"/>
    </x:xf>
    <x:xf numFmtId="0" fontId="38" fillId="0" borderId="24" xfId="0" applyFont="1" applyBorder="1" applyAlignment="1">
      <x:alignment horizontal="center" vertical="center" wrapText="1"/>
    </x:xf>
    <x:xf numFmtId="0" fontId="38" fillId="0" borderId="25" xfId="0" applyFont="1" applyBorder="1" applyAlignment="1">
      <x:alignment horizontal="center" vertical="center" wrapText="1"/>
    </x:xf>
    <x:xf numFmtId="0" fontId="32" fillId="0" borderId="0" xfId="0" applyFont="1" applyAlignment="1">
      <x:alignment horizontal="center" vertical="center"/>
    </x:xf>
    <x:xf numFmtId="0" fontId="32" fillId="0" borderId="0" xfId="0" applyFont="1" applyAlignment="1">
      <x:alignment horizontal="left" vertical="center"/>
    </x:xf>
    <x:xf numFmtId="0" fontId="75" fillId="0" borderId="30" xfId="0" applyFont="1" applyBorder="1" applyAlignment="1">
      <x:alignment horizontal="center" vertical="center" wrapText="1"/>
    </x:xf>
    <x:xf numFmtId="0" fontId="75" fillId="0" borderId="31" xfId="0" applyFont="1" applyBorder="1" applyAlignment="1">
      <x:alignment horizontal="center" vertical="center" wrapText="1"/>
    </x:xf>
    <x:xf numFmtId="0" fontId="75" fillId="0" borderId="32" xfId="0" applyFont="1" applyBorder="1" applyAlignment="1">
      <x:alignment horizontal="center" vertical="center" wrapText="1"/>
    </x:xf>
    <x:xf numFmtId="0" fontId="75" fillId="0" borderId="33" xfId="0" applyFont="1" applyBorder="1" applyAlignment="1">
      <x:alignment horizontal="center" vertical="center" wrapText="1"/>
    </x:xf>
    <x:xf numFmtId="0" fontId="75" fillId="0" borderId="11" xfId="0" applyFont="1" applyBorder="1" applyAlignment="1">
      <x:alignment horizontal="center" vertical="center" wrapText="1"/>
    </x:xf>
    <x:xf numFmtId="0" fontId="75" fillId="0" borderId="34" xfId="0" applyFont="1" applyBorder="1" applyAlignment="1">
      <x:alignment horizontal="center" vertical="center" wrapText="1"/>
    </x:xf>
    <x:xf numFmtId="0" fontId="75" fillId="0" borderId="35" xfId="0" applyFont="1" applyBorder="1" applyAlignment="1">
      <x:alignment horizontal="center" vertical="center" wrapText="1"/>
    </x:xf>
    <x:xf numFmtId="0" fontId="75" fillId="0" borderId="36" xfId="0" applyFont="1" applyBorder="1" applyAlignment="1">
      <x:alignment horizontal="center" vertical="center" wrapText="1"/>
    </x:xf>
    <x:xf numFmtId="0" fontId="75" fillId="0" borderId="37" xfId="0" applyFont="1" applyBorder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44" fillId="2" borderId="2" xfId="0" applyFont="1" applyFill="1" applyBorder="1" applyAlignment="1">
      <x:alignment horizontal="left" vertical="center"/>
    </x:xf>
    <x:xf numFmtId="0" fontId="37" fillId="3" borderId="7" xfId="0" applyFont="1" applyFill="1" applyBorder="1" applyAlignment="1">
      <x:alignment horizontal="center" vertical="center" wrapText="1"/>
    </x:xf>
    <x:xf numFmtId="0" fontId="9" fillId="0" borderId="14" xfId="0" applyFont="1" applyBorder="1"/>
    <x:xf numFmtId="0" fontId="28" fillId="0" borderId="15" xfId="0" applyFont="1" applyBorder="1" applyAlignment="1">
      <x:alignment horizontal="center" vertical="center"/>
    </x:xf>
    <x:xf numFmtId="0" fontId="9" fillId="0" borderId="15" xfId="0" applyFont="1" applyBorder="1"/>
    <x:xf numFmtId="0" fontId="0" fillId="0" borderId="41" xfId="0" applyNumberFormat="1" applyFont="1" applyFill="1" applyBorder="1"/>
    <x:xf numFmtId="0" fontId="2" fillId="2" borderId="41" xfId="0" applyNumberFormat="1" applyFont="1" applyFill="1" applyBorder="1" applyAlignment="1">
      <x:alignment horizontal="left" vertical="center"/>
    </x:xf>
    <x:xf numFmtId="0" fontId="3" fillId="2" borderId="41" xfId="0" applyNumberFormat="1" applyFont="1" applyFill="1" applyBorder="1" applyAlignment="1">
      <x:alignment horizontal="left" vertical="center"/>
    </x:xf>
    <x:xf numFmtId="0" fontId="3" fillId="2" borderId="41" xfId="0" applyNumberFormat="1" applyFont="1" applyFill="1" applyBorder="1" applyAlignment="1">
      <x:alignment vertical="center"/>
    </x:xf>
    <x:xf numFmtId="0" fontId="4" fillId="0" borderId="41" xfId="0" applyNumberFormat="1" applyFont="1" applyFill="1" applyBorder="1" applyAlignment="1">
      <x:alignment horizontal="center" vertical="center"/>
    </x:xf>
    <x:xf numFmtId="0" fontId="5" fillId="2" borderId="41" xfId="0" applyNumberFormat="1" applyFont="1" applyFill="1" applyBorder="1" applyAlignment="1">
      <x:alignment horizontal="center" vertical="center"/>
    </x:xf>
    <x:xf numFmtId="0" fontId="5" fillId="2" borderId="41" xfId="0" applyNumberFormat="1" applyFont="1" applyFill="1" applyBorder="1" applyAlignment="1">
      <x:alignment vertical="center"/>
    </x:xf>
    <x:xf numFmtId="0" fontId="5" fillId="0" borderId="41" xfId="0" applyNumberFormat="1" applyFont="1" applyFill="1" applyBorder="1" applyAlignment="1">
      <x:alignment horizontal="left" vertical="center"/>
    </x:xf>
    <x:xf numFmtId="0" fontId="6" fillId="3" borderId="41" xfId="0" applyNumberFormat="1" applyFont="1" applyFill="1" applyBorder="1" applyAlignment="1">
      <x:alignment vertical="center"/>
    </x:xf>
    <x:xf numFmtId="0" fontId="7" fillId="0" borderId="41" xfId="0" applyNumberFormat="1" applyFont="1" applyFill="1" applyBorder="1" applyAlignment="1">
      <x:alignment vertical="center"/>
    </x:xf>
    <x:xf numFmtId="0" fontId="10" fillId="2" borderId="42" xfId="0" applyNumberFormat="1" applyFont="1" applyFill="1" applyBorder="1" applyAlignment="1">
      <x:alignment horizontal="left" vertical="center"/>
    </x:xf>
    <x:xf numFmtId="0" fontId="11" fillId="2" borderId="42" xfId="0" applyNumberFormat="1" applyFont="1" applyFill="1" applyBorder="1" applyAlignment="1">
      <x:alignment horizontal="left" vertical="center"/>
    </x:xf>
    <x:xf numFmtId="0" fontId="13" fillId="3" borderId="41" xfId="0" applyNumberFormat="1" applyFont="1" applyFill="1" applyBorder="1" applyAlignment="1">
      <x:alignment horizontal="center" vertical="center"/>
    </x:xf>
    <x:xf numFmtId="0" fontId="13" fillId="3" borderId="41" xfId="0" applyNumberFormat="1" applyFont="1" applyFill="1" applyBorder="1" applyAlignment="1">
      <x:alignment horizontal="left"/>
    </x:xf>
    <x:xf numFmtId="0" fontId="14" fillId="0" borderId="41" xfId="0" applyNumberFormat="1" applyFont="1" applyFill="1" applyBorder="1" applyAlignment="1">
      <x:alignment horizontal="left" vertical="center"/>
    </x:xf>
    <x:xf numFmtId="0" fontId="15" fillId="2" borderId="41" xfId="0" applyNumberFormat="1" applyFont="1" applyFill="1" applyBorder="1" applyAlignment="1">
      <x:alignment vertical="center"/>
    </x:xf>
    <x:xf numFmtId="0" fontId="15" fillId="2" borderId="41" xfId="0" applyNumberFormat="1" applyFont="1" applyFill="1" applyBorder="1" applyAlignment="1">
      <x:alignment horizontal="center" vertical="center"/>
    </x:xf>
    <x:xf numFmtId="0" fontId="15" fillId="2" borderId="41" xfId="0" applyNumberFormat="1" applyFont="1" applyFill="1" applyBorder="1" applyAlignment="1">
      <x:alignment horizontal="left" vertical="center"/>
    </x:xf>
    <x:xf numFmtId="0" fontId="16" fillId="2" borderId="41" xfId="0" applyNumberFormat="1" applyFont="1" applyFill="1" applyBorder="1" applyAlignment="1">
      <x:alignment horizontal="left" vertical="center"/>
    </x:xf>
    <x:xf numFmtId="0" fontId="16" fillId="2" borderId="41" xfId="0" applyNumberFormat="1" applyFont="1" applyFill="1" applyBorder="1" applyAlignment="1">
      <x:alignment vertical="center"/>
    </x:xf>
    <x:xf numFmtId="0" fontId="17" fillId="0" borderId="41" xfId="0" applyNumberFormat="1" applyFont="1" applyFill="1" applyBorder="1" applyAlignment="1">
      <x:alignment vertical="center"/>
    </x:xf>
    <x:xf numFmtId="0" fontId="18" fillId="3" borderId="41" xfId="0" applyNumberFormat="1" applyFont="1" applyFill="1" applyBorder="1" applyAlignment="1">
      <x:alignment horizontal="center" vertical="center"/>
    </x:xf>
    <x:xf numFmtId="0" fontId="18" fillId="3" borderId="43" xfId="0" applyNumberFormat="1" applyFont="1" applyFill="1" applyBorder="1" applyAlignment="1">
      <x:alignment horizontal="left" vertical="center"/>
    </x:xf>
    <x:xf numFmtId="0" fontId="18" fillId="3" borderId="41" xfId="0" applyNumberFormat="1" applyFont="1" applyFill="1" applyBorder="1" applyAlignment="1">
      <x:alignment horizontal="left" vertical="center"/>
    </x:xf>
    <x:xf numFmtId="0" fontId="20" fillId="0" borderId="41" xfId="0" applyNumberFormat="1" applyFont="1" applyFill="1" applyBorder="1" applyAlignment="1">
      <x:alignment vertical="center"/>
    </x:xf>
    <x:xf numFmtId="0" fontId="22" fillId="3" borderId="43" xfId="0" applyNumberFormat="1" applyFont="1" applyFill="1" applyBorder="1" applyAlignment="1">
      <x:alignment horizontal="left" vertical="center"/>
    </x:xf>
    <x:xf numFmtId="0" fontId="23" fillId="0" borderId="44" xfId="0" applyNumberFormat="1" applyFont="1" applyFill="1" applyBorder="1" applyAlignment="1">
      <x:alignment horizontal="center" vertical="center" wrapText="1"/>
    </x:xf>
    <x:xf numFmtId="0" fontId="25" fillId="3" borderId="41" xfId="0" applyNumberFormat="1" applyFont="1" applyFill="1" applyBorder="1" applyAlignment="1">
      <x:alignment horizontal="center"/>
    </x:xf>
    <x:xf numFmtId="176" fontId="23" fillId="0" borderId="44" xfId="0" applyNumberFormat="1" applyFont="1" applyFill="1" applyBorder="1" applyAlignment="1">
      <x:alignment horizontal="center" vertical="center" wrapText="1"/>
    </x:xf>
    <x:xf numFmtId="0" fontId="26" fillId="0" borderId="41" xfId="0" applyNumberFormat="1" applyFont="1" applyFill="1" applyBorder="1" applyAlignment="1">
      <x:alignment vertical="center"/>
    </x:xf>
    <x:xf numFmtId="0" fontId="25" fillId="3" borderId="41" xfId="0" applyNumberFormat="1" applyFont="1" applyFill="1" applyBorder="1"/>
    <x:xf numFmtId="0" fontId="27" fillId="0" borderId="41" xfId="0" applyNumberFormat="1" applyFont="1" applyFill="1" applyBorder="1" applyAlignment="1">
      <x:alignment vertical="center"/>
    </x:xf>
    <x:xf numFmtId="0" fontId="28" fillId="0" borderId="41" xfId="0" applyNumberFormat="1" applyFont="1" applyFill="1" applyBorder="1" applyAlignment="1">
      <x:alignment horizontal="center" vertical="center" wrapText="1"/>
    </x:xf>
    <x:xf numFmtId="176" fontId="28" fillId="0" borderId="41" xfId="0" applyNumberFormat="1" applyFont="1" applyFill="1" applyBorder="1" applyAlignment="1">
      <x:alignment horizontal="center" vertical="center" wrapText="1"/>
    </x:xf>
    <x:xf numFmtId="3" fontId="28" fillId="0" borderId="41" xfId="0" applyNumberFormat="1" applyFont="1" applyFill="1" applyBorder="1" applyAlignment="1">
      <x:alignment horizontal="center" vertical="center" wrapText="1"/>
    </x:xf>
    <x:xf numFmtId="0" fontId="30" fillId="0" borderId="41" xfId="0" applyNumberFormat="1" applyFont="1" applyFill="1" applyBorder="1" applyAlignment="1">
      <x:alignment vertical="center"/>
    </x:xf>
    <x:xf numFmtId="0" fontId="0" fillId="0" borderId="41" xfId="0" applyNumberFormat="1" applyFont="1" applyFill="1" applyBorder="1" applyAlignment="1">
      <x:alignment horizontal="center"/>
    </x:xf>
    <x:xf numFmtId="0" fontId="19" fillId="3" borderId="41" xfId="0" applyNumberFormat="1" applyFont="1" applyFill="1" applyBorder="1" applyAlignment="1">
      <x:alignment vertical="center"/>
    </x:xf>
    <x:xf numFmtId="0" fontId="33" fillId="3" borderId="41" xfId="0" applyNumberFormat="1" applyFont="1" applyFill="1" applyBorder="1" applyAlignment="1">
      <x:alignment horizontal="center" vertical="center"/>
    </x:xf>
    <x:xf numFmtId="0" fontId="17" fillId="0" borderId="41" xfId="0" applyNumberFormat="1" applyFont="1" applyFill="1" applyBorder="1" applyAlignment="1">
      <x:alignment horizontal="center" vertical="center"/>
    </x:xf>
    <x:xf numFmtId="0" fontId="36" fillId="3" borderId="41" xfId="0" applyNumberFormat="1" applyFont="1" applyFill="1" applyBorder="1" applyAlignment="1">
      <x:alignment horizontal="center" vertical="center" wrapText="1"/>
    </x:xf>
    <x:xf numFmtId="0" fontId="37" fillId="3" borderId="41" xfId="0" applyNumberFormat="1" applyFont="1" applyFill="1" applyBorder="1" applyAlignment="1">
      <x:alignment horizontal="center" vertical="center" wrapText="1"/>
    </x:xf>
    <x:xf numFmtId="0" fontId="20" fillId="0" borderId="41" xfId="0" applyNumberFormat="1" applyFont="1" applyFill="1" applyBorder="1" applyAlignment="1">
      <x:alignment horizontal="center" vertical="center"/>
    </x:xf>
    <x:xf numFmtId="0" fontId="19" fillId="0" borderId="41" xfId="0" applyNumberFormat="1" applyFont="1" applyFill="1" applyBorder="1" applyAlignment="1">
      <x:alignment horizontal="center" vertical="center" wrapText="1"/>
    </x:xf>
    <x:xf numFmtId="176" fontId="19" fillId="0" borderId="41" xfId="0" applyNumberFormat="1" applyFont="1" applyFill="1" applyBorder="1" applyAlignment="1">
      <x:alignment horizontal="center" vertical="center" wrapText="1"/>
    </x:xf>
    <x:xf numFmtId="3" fontId="19" fillId="0" borderId="41" xfId="0" applyNumberFormat="1" applyFont="1" applyFill="1" applyBorder="1" applyAlignment="1">
      <x:alignment horizontal="center" vertical="center" wrapText="1"/>
    </x:xf>
    <x:xf numFmtId="0" fontId="24" fillId="0" borderId="45" xfId="0" applyNumberFormat="1" applyFont="1" applyFill="1" applyBorder="1" applyAlignment="1">
      <x:alignment horizontal="center" vertical="center" wrapText="1"/>
    </x:xf>
    <x:xf numFmtId="0" fontId="24" fillId="0" borderId="41" xfId="0" applyNumberFormat="1" applyFont="1" applyFill="1" applyBorder="1" applyAlignment="1">
      <x:alignment horizontal="center" vertical="center" wrapText="1"/>
    </x:xf>
    <x:xf numFmtId="0" fontId="39" fillId="0" borderId="41" xfId="0" applyNumberFormat="1" applyFont="1" applyFill="1" applyBorder="1" applyAlignment="1">
      <x:alignment horizontal="center" vertical="center"/>
    </x:xf>
    <x:xf numFmtId="0" fontId="40" fillId="0" borderId="41" xfId="0" applyNumberFormat="1" applyFont="1" applyFill="1" applyBorder="1" applyAlignment="1">
      <x:alignment horizontal="center" vertical="center"/>
    </x:xf>
    <x:xf numFmtId="0" fontId="28" fillId="0" borderId="41" xfId="0" applyNumberFormat="1" applyFont="1" applyFill="1" applyBorder="1" applyAlignment="1">
      <x:alignment horizontal="left" vertical="center" wrapText="1"/>
    </x:xf>
    <x:xf numFmtId="177" fontId="37" fillId="3" borderId="41" xfId="0" applyNumberFormat="1" applyFont="1" applyFill="1" applyBorder="1" applyAlignment="1">
      <x:alignment horizontal="center" vertical="center" wrapText="1"/>
    </x:xf>
    <x:xf numFmtId="0" fontId="21" fillId="2" borderId="46" xfId="0" applyNumberFormat="1" applyFont="1" applyFill="1" applyBorder="1" applyAlignment="1">
      <x:alignment horizontal="left"/>
    </x:xf>
    <x:xf numFmtId="0" fontId="32" fillId="0" borderId="41" xfId="0" applyNumberFormat="1" applyFont="1" applyFill="1" applyBorder="1" applyAlignment="1">
      <x:alignment horizontal="center" vertical="center"/>
    </x:xf>
    <x:xf numFmtId="3" fontId="41" fillId="2" borderId="46" xfId="0" applyNumberFormat="1" applyFont="1" applyFill="1" applyBorder="1" applyAlignment="1">
      <x:alignment horizontal="left"/>
    </x:xf>
    <x:xf numFmtId="0" fontId="39" fillId="0" borderId="47" xfId="0" applyNumberFormat="1" applyFont="1" applyFill="1" applyBorder="1" applyAlignment="1">
      <x:alignment horizontal="center" vertical="center"/>
    </x:xf>
    <x:xf numFmtId="0" fontId="19" fillId="0" borderId="41" xfId="0" applyNumberFormat="1" applyFont="1" applyFill="1" applyBorder="1" applyAlignment="1">
      <x:alignment horizontal="left" vertical="center" wrapText="1"/>
    </x:xf>
    <x:xf numFmtId="0" fontId="34" fillId="3" borderId="41" xfId="0" applyNumberFormat="1" applyFont="1" applyFill="1" applyBorder="1" applyAlignment="1">
      <x:alignment vertical="center"/>
    </x:xf>
    <x:xf numFmtId="176" fontId="19" fillId="0" borderId="41" xfId="0" applyNumberFormat="1" applyFont="1" applyFill="1" applyBorder="1" applyAlignment="1">
      <x:alignment horizontal="left" vertical="center" wrapText="1"/>
    </x:xf>
    <x:xf numFmtId="176" fontId="28" fillId="0" borderId="41" xfId="0" applyNumberFormat="1" applyFont="1" applyFill="1" applyBorder="1" applyAlignment="1">
      <x:alignment horizontal="left" vertical="center" wrapText="1"/>
    </x:xf>
    <x:xf numFmtId="0" fontId="45" fillId="0" borderId="41" xfId="0" applyNumberFormat="1" applyFont="1" applyFill="1" applyBorder="1" applyAlignment="1">
      <x:alignment horizontal="left" vertical="center"/>
    </x:xf>
    <x:xf numFmtId="0" fontId="46" fillId="2" borderId="46" xfId="0" applyNumberFormat="1" applyFont="1" applyFill="1" applyBorder="1"/>
    <x:xf numFmtId="9" fontId="46" fillId="2" borderId="46" xfId="0" applyNumberFormat="1" applyFont="1" applyFill="1" applyBorder="1" applyAlignment="1">
      <x:alignment horizontal="center" wrapText="1"/>
    </x:xf>
    <x:xf numFmtId="178" fontId="47" fillId="2" borderId="46" xfId="0" applyNumberFormat="1" applyFont="1" applyFill="1" applyBorder="1" applyAlignment="1">
      <x:alignment horizontal="right" wrapText="1"/>
    </x:xf>
    <x:xf numFmtId="3" fontId="47" fillId="2" borderId="46" xfId="0" applyNumberFormat="1" applyFont="1" applyFill="1" applyBorder="1" applyAlignment="1">
      <x:alignment horizontal="center" wrapText="1"/>
    </x:xf>
    <x:xf numFmtId="0" fontId="35" fillId="0" borderId="41" xfId="0" applyNumberFormat="1" applyFont="1" applyFill="1" applyBorder="1" applyAlignment="1">
      <x:alignment horizontal="center" vertical="center"/>
    </x:xf>
    <x:xf numFmtId="0" fontId="30" fillId="0" borderId="41" xfId="0" applyNumberFormat="1" applyFont="1" applyFill="1" applyBorder="1" applyAlignment="1">
      <x:alignment horizontal="left" vertical="center" wrapText="1"/>
    </x:xf>
    <x:xf numFmtId="0" fontId="30" fillId="0" borderId="41" xfId="0" applyNumberFormat="1" applyFont="1" applyFill="1" applyBorder="1" applyAlignment="1">
      <x:alignment horizontal="left" vertical="center"/>
    </x:xf>
    <x:xf numFmtId="179" fontId="30" fillId="0" borderId="41" xfId="0" applyNumberFormat="1" applyFont="1" applyFill="1" applyBorder="1" applyAlignment="1">
      <x:alignment horizontal="center" vertical="center" wrapText="1"/>
    </x:xf>
    <x:xf numFmtId="3" fontId="30" fillId="0" borderId="41" xfId="0" applyNumberFormat="1" applyFont="1" applyFill="1" applyBorder="1" applyAlignment="1">
      <x:alignment horizontal="center" vertical="center" wrapText="1"/>
    </x:xf>
    <x:xf numFmtId="9" fontId="30" fillId="0" borderId="41" xfId="0" applyNumberFormat="1" applyFont="1" applyFill="1" applyBorder="1" applyAlignment="1">
      <x:alignment horizontal="center" vertical="center"/>
    </x:xf>
    <x:xf numFmtId="9" fontId="30" fillId="0" borderId="41" xfId="0" applyNumberFormat="1" applyFont="1" applyFill="1" applyBorder="1" applyAlignment="1">
      <x:alignment horizontal="left" vertical="center"/>
    </x:xf>
    <x:xf numFmtId="180" fontId="30" fillId="0" borderId="41" xfId="0" applyNumberFormat="1" applyFont="1" applyFill="1" applyBorder="1" applyAlignment="1">
      <x:alignment vertical="center"/>
    </x:xf>
    <x:xf numFmtId="9" fontId="30" fillId="0" borderId="41" xfId="0" applyNumberFormat="1" applyFont="1" applyFill="1" applyBorder="1" applyAlignment="1">
      <x:alignment horizontal="center" vertical="center" wrapText="1"/>
    </x:xf>
    <x:xf numFmtId="180" fontId="30" fillId="0" borderId="41" xfId="0" applyNumberFormat="1" applyFont="1" applyFill="1" applyBorder="1" applyAlignment="1">
      <x:alignment horizontal="right" vertical="center" wrapText="1"/>
    </x:xf>
    <x:xf numFmtId="0" fontId="30" fillId="0" borderId="41" xfId="0" applyNumberFormat="1" applyFont="1" applyFill="1" applyBorder="1" applyAlignment="1">
      <x:alignment horizontal="center" vertical="center"/>
    </x:xf>
    <x:xf numFmtId="9" fontId="30" fillId="0" borderId="41" xfId="0" applyNumberFormat="1" applyFont="1" applyFill="1" applyBorder="1" applyAlignment="1">
      <x:alignment horizontal="left" vertical="center" wrapText="1"/>
    </x:xf>
    <x:xf numFmtId="9" fontId="40" fillId="0" borderId="41" xfId="0" applyNumberFormat="1" applyFont="1" applyFill="1" applyBorder="1" applyAlignment="1">
      <x:alignment horizontal="center" vertical="center" wrapText="1"/>
    </x:xf>
    <x:xf numFmtId="0" fontId="30" fillId="0" borderId="41" xfId="0" applyNumberFormat="1" applyFont="1" applyFill="1" applyBorder="1" applyAlignment="1">
      <x:alignment horizontal="center" vertical="center" wrapText="1"/>
    </x:xf>
    <x:xf numFmtId="9" fontId="40" fillId="0" borderId="41" xfId="0" applyNumberFormat="1" applyFont="1" applyFill="1" applyBorder="1" applyAlignment="1">
      <x:alignment horizontal="left" vertical="center"/>
    </x:xf>
    <x:xf numFmtId="180" fontId="40" fillId="0" borderId="41" xfId="0" applyNumberFormat="1" applyFont="1" applyFill="1" applyBorder="1" applyAlignment="1">
      <x:alignment horizontal="center" vertical="center"/>
    </x:xf>
    <x:xf numFmtId="0" fontId="19" fillId="0" borderId="48" xfId="0" applyNumberFormat="1" applyFont="1" applyFill="1" applyBorder="1" applyAlignment="1">
      <x:alignment horizontal="center" vertical="center" wrapText="1"/>
    </x:xf>
    <x:xf numFmtId="176" fontId="19" fillId="0" borderId="48" xfId="0" applyNumberFormat="1" applyFont="1" applyFill="1" applyBorder="1" applyAlignment="1">
      <x:alignment horizontal="center" vertical="center" wrapText="1"/>
    </x:xf>
    <x:xf numFmtId="3" fontId="19" fillId="0" borderId="48" xfId="0" applyNumberFormat="1" applyFont="1" applyFill="1" applyBorder="1" applyAlignment="1">
      <x:alignment horizontal="center" vertical="center" wrapText="1"/>
    </x:xf>
    <x:xf numFmtId="0" fontId="24" fillId="0" borderId="48" xfId="0" applyNumberFormat="1" applyFont="1" applyFill="1" applyBorder="1" applyAlignment="1">
      <x:alignment horizontal="center" vertical="center" wrapText="1"/>
    </x:xf>
    <x:xf numFmtId="0" fontId="38" fillId="0" borderId="48" xfId="0" applyNumberFormat="1" applyFont="1" applyFill="1" applyBorder="1" applyAlignment="1">
      <x:alignment horizontal="center" vertical="center" wrapText="1"/>
    </x:xf>
    <x:xf numFmtId="0" fontId="28" fillId="0" borderId="48" xfId="0" applyNumberFormat="1" applyFont="1" applyFill="1" applyBorder="1" applyAlignment="1">
      <x:alignment horizontal="center" vertical="center" wrapText="1"/>
    </x:xf>
    <x:xf numFmtId="176" fontId="28" fillId="0" borderId="48" xfId="0" applyNumberFormat="1" applyFont="1" applyFill="1" applyBorder="1" applyAlignment="1">
      <x:alignment horizontal="center" vertical="center" wrapText="1"/>
    </x:xf>
    <x:xf numFmtId="0" fontId="39" fillId="0" borderId="48" xfId="0" applyNumberFormat="1" applyFont="1" applyFill="1" applyBorder="1" applyAlignment="1">
      <x:alignment horizontal="center" vertical="center"/>
    </x:xf>
    <x:xf numFmtId="0" fontId="0" fillId="0" borderId="48" xfId="0" applyNumberFormat="1" applyFont="1" applyFill="1" applyBorder="1" applyAlignment="1">
      <x:alignment horizontal="center"/>
    </x:xf>
    <x:xf numFmtId="3" fontId="31" fillId="2" borderId="41" xfId="0" applyNumberFormat="1" applyFont="1" applyFill="1" applyBorder="1" applyAlignment="1">
      <x:alignment horizontal="left"/>
    </x:xf>
    <x:xf numFmtId="0" fontId="21" fillId="2" borderId="41" xfId="0" applyNumberFormat="1" applyFont="1" applyFill="1" applyBorder="1" applyAlignment="1">
      <x:alignment horizontal="left"/>
    </x:xf>
    <x:xf numFmtId="0" fontId="32" fillId="0" borderId="48" xfId="0" applyNumberFormat="1" applyFont="1" applyFill="1" applyBorder="1" applyAlignment="1">
      <x:alignment horizontal="center" vertical="center" wrapText="1"/>
    </x:xf>
    <x:xf numFmtId="176" fontId="38" fillId="0" borderId="48" xfId="0" applyNumberFormat="1" applyFont="1" applyFill="1" applyBorder="1" applyAlignment="1">
      <x:alignment horizontal="center" vertical="center" wrapText="1"/>
    </x:xf>
    <x:xf numFmtId="3" fontId="38" fillId="0" borderId="48" xfId="0" applyNumberFormat="1" applyFont="1" applyFill="1" applyBorder="1" applyAlignment="1">
      <x:alignment horizontal="center" vertical="center" wrapText="1"/>
    </x:xf>
    <x:xf numFmtId="0" fontId="29" fillId="0" borderId="48" xfId="0" applyNumberFormat="1" applyFont="1" applyFill="1" applyBorder="1" applyAlignment="1">
      <x:alignment horizontal="center" vertical="center" wrapText="1"/>
    </x:xf>
    <x:xf numFmtId="0" fontId="7" fillId="0" borderId="41" xfId="0" applyNumberFormat="1" applyFont="1" applyFill="1" applyBorder="1" applyAlignment="1">
      <x:alignment horizontal="center" vertical="center"/>
    </x:xf>
    <x:xf numFmtId="0" fontId="26" fillId="0" borderId="41" xfId="0" applyNumberFormat="1" applyFont="1" applyFill="1" applyBorder="1" applyAlignment="1">
      <x:alignment horizontal="center" vertical="center"/>
    </x:xf>
    <x:xf numFmtId="0" fontId="27" fillId="0" borderId="41" xfId="0" applyNumberFormat="1" applyFont="1" applyFill="1" applyBorder="1" applyAlignment="1">
      <x:alignment horizontal="center" vertical="center"/>
    </x:xf>
    <x:xf numFmtId="0" fontId="56" fillId="0" borderId="41" xfId="0" applyNumberFormat="1" applyFont="1" applyFill="1" applyBorder="1" applyAlignment="1">
      <x:alignment horizontal="center" vertical="center"/>
    </x:xf>
    <x:xf numFmtId="0" fontId="49" fillId="0" borderId="41" xfId="0" applyNumberFormat="1" applyFont="1" applyFill="1" applyBorder="1" applyAlignment="1">
      <x:alignment horizontal="center" vertical="center"/>
    </x:xf>
    <x:xf numFmtId="0" fontId="9" fillId="0" borderId="41" xfId="0" applyNumberFormat="1" applyFont="1" applyFill="1" applyBorder="1"/>
    <x:xf numFmtId="0" fontId="32" fillId="0" borderId="48" xfId="0" applyNumberFormat="1" applyFont="1" applyFill="1" applyBorder="1" applyAlignment="1">
      <x:alignment vertical="center"/>
    </x:xf>
    <x:xf numFmtId="3" fontId="32" fillId="0" borderId="48" xfId="0" applyNumberFormat="1" applyFont="1" applyFill="1" applyBorder="1" applyAlignment="1">
      <x:alignment horizontal="center" vertical="center"/>
    </x:xf>
    <x:xf numFmtId="0" fontId="60" fillId="0" borderId="44" xfId="0" applyNumberFormat="1" applyFont="1" applyFill="1" applyBorder="1" applyAlignment="1">
      <x:alignment horizontal="center" vertical="center" wrapText="1"/>
    </x:xf>
    <x:xf numFmtId="41" fontId="65" fillId="0" borderId="48" xfId="0" applyNumberFormat="1" applyFont="1" applyFill="1" applyBorder="1" applyAlignment="1">
      <x:alignment horizontal="center" vertical="center" wrapText="1"/>
    </x:xf>
    <x:xf numFmtId="0" fontId="38" fillId="0" borderId="48" xfId="0" applyNumberFormat="1" applyFont="1" applyFill="1" applyBorder="1" applyAlignment="1">
      <x:alignment vertical="center" wrapText="1"/>
    </x:xf>
    <x:xf numFmtId="0" fontId="66" fillId="2" borderId="41" xfId="0" applyNumberFormat="1" applyFont="1" applyFill="1" applyBorder="1" applyAlignment="1">
      <x:alignment horizontal="left"/>
    </x:xf>
    <x:xf numFmtId="0" fontId="32" fillId="0" borderId="41" xfId="0" applyNumberFormat="1" applyFont="1" applyFill="1" applyBorder="1" applyAlignment="1">
      <x:alignment vertical="center"/>
    </x:xf>
    <x:xf numFmtId="0" fontId="32" fillId="0" borderId="49" xfId="0" applyNumberFormat="1" applyFont="1" applyFill="1" applyBorder="1" applyAlignment="1">
      <x:alignment vertical="center"/>
    </x:xf>
    <x:xf numFmtId="41" fontId="0" fillId="0" borderId="41" xfId="0" applyNumberFormat="1" applyFont="1" applyFill="1" applyBorder="1"/>
    <x:xf numFmtId="0" fontId="68" fillId="0" borderId="41" xfId="0" applyNumberFormat="1" applyFont="1" applyFill="1" applyBorder="1" applyAlignment="1">
      <x:alignment horizontal="center"/>
    </x:xf>
    <x:xf numFmtId="0" fontId="69" fillId="0" borderId="48" xfId="0" applyNumberFormat="1" applyFont="1" applyFill="1" applyBorder="1" applyAlignment="1">
      <x:alignment vertical="center"/>
    </x:xf>
    <x:xf numFmtId="0" fontId="70" fillId="0" borderId="48" xfId="0" applyNumberFormat="1" applyFont="1" applyFill="1" applyBorder="1" applyAlignment="1">
      <x:alignment horizontal="center" vertical="center"/>
    </x:xf>
    <x:xf numFmtId="0" fontId="69" fillId="0" borderId="41" xfId="0" applyNumberFormat="1" applyFont="1" applyFill="1" applyBorder="1" applyAlignment="1">
      <x:alignment vertical="center"/>
    </x:xf>
    <x:xf numFmtId="0" fontId="70" fillId="6" borderId="48" xfId="0" applyNumberFormat="1" applyFont="1" applyFill="1" applyBorder="1" applyAlignment="1">
      <x:alignment horizontal="center" vertical="center"/>
    </x:xf>
    <x:xf numFmtId="0" fontId="70" fillId="8" borderId="48" xfId="0" applyNumberFormat="1" applyFont="1" applyFill="1" applyBorder="1" applyAlignment="1">
      <x:alignment horizontal="center" vertical="center"/>
    </x:xf>
    <x:xf numFmtId="0" fontId="69" fillId="8" borderId="48" xfId="0" applyNumberFormat="1" applyFont="1" applyFill="1" applyBorder="1" applyAlignment="1">
      <x:alignment vertical="center"/>
    </x:xf>
    <x:xf numFmtId="0" fontId="71" fillId="0" borderId="41" xfId="0" applyNumberFormat="1" applyFont="1" applyFill="1" applyBorder="1"/>
    <x:xf numFmtId="0" fontId="71" fillId="0" borderId="41" xfId="0" applyNumberFormat="1" applyFont="1" applyFill="1" applyBorder="1" applyAlignment="1">
      <x:alignment horizontal="center"/>
    </x:xf>
    <x:xf numFmtId="0" fontId="73" fillId="0" borderId="41" xfId="0" applyNumberFormat="1" applyFont="1" applyFill="1" applyBorder="1" applyAlignment="1">
      <x:alignment vertical="center"/>
    </x:xf>
    <x:xf numFmtId="0" fontId="68" fillId="0" borderId="48" xfId="0" applyNumberFormat="1" applyFont="1" applyFill="1" applyBorder="1" applyAlignment="1">
      <x:alignment horizontal="center"/>
    </x:xf>
    <x:xf numFmtId="0" fontId="68" fillId="6" borderId="48" xfId="0" applyNumberFormat="1" applyFont="1" applyFill="1" applyBorder="1" applyAlignment="1">
      <x:alignment horizontal="center"/>
    </x:xf>
    <x:xf numFmtId="0" fontId="67" fillId="6" borderId="48" xfId="0" applyNumberFormat="1" applyFont="1" applyFill="1" applyBorder="1" applyAlignment="1">
      <x:alignment horizontal="left" vertical="center"/>
    </x:xf>
    <x:xf numFmtId="41" fontId="68" fillId="6" borderId="48" xfId="0" applyNumberFormat="1" applyFont="1" applyFill="1" applyBorder="1" applyAlignment="1">
      <x:alignment horizontal="center"/>
    </x:xf>
    <x:xf numFmtId="0" fontId="67" fillId="0" borderId="48" xfId="0" applyNumberFormat="1" applyFont="1" applyFill="1" applyBorder="1" applyAlignment="1">
      <x:alignment horizontal="left" vertical="center"/>
    </x:xf>
    <x:xf numFmtId="41" fontId="68" fillId="0" borderId="48" xfId="0" applyNumberFormat="1" applyFont="1" applyFill="1" applyBorder="1" applyAlignment="1">
      <x:alignment horizontal="center"/>
    </x:xf>
    <x:xf numFmtId="0" fontId="68" fillId="8" borderId="48" xfId="0" applyNumberFormat="1" applyFont="1" applyFill="1" applyBorder="1" applyAlignment="1">
      <x:alignment horizontal="center"/>
    </x:xf>
    <x:xf numFmtId="0" fontId="67" fillId="8" borderId="48" xfId="0" applyNumberFormat="1" applyFont="1" applyFill="1" applyBorder="1" applyAlignment="1">
      <x:alignment horizontal="left" vertical="center"/>
    </x:xf>
    <x:xf numFmtId="41" fontId="68" fillId="8" borderId="48" xfId="0" applyNumberFormat="1" applyFont="1" applyFill="1" applyBorder="1" applyAlignment="1">
      <x:alignment horizontal="center"/>
    </x:xf>
    <x:xf numFmtId="0" fontId="68" fillId="0" borderId="41" xfId="0" applyNumberFormat="1" applyFont="1" applyFill="1" applyBorder="1"/>
    <x:xf numFmtId="41" fontId="68" fillId="0" borderId="48" xfId="0" applyNumberFormat="1" applyFont="1" applyFill="1" applyBorder="1"/>
    <x:xf numFmtId="0" fontId="68" fillId="0" borderId="50" xfId="0" applyNumberFormat="1" applyFont="1" applyFill="1" applyBorder="1" applyAlignment="1">
      <x:alignment horizontal="center"/>
    </x:xf>
    <x:xf numFmtId="0" fontId="68" fillId="0" borderId="50" xfId="0" applyNumberFormat="1" applyFont="1" applyFill="1" applyBorder="1" applyAlignment="1">
      <x:alignment horizontal="center" vertical="center"/>
    </x:xf>
    <x:xf numFmtId="41" fontId="69" fillId="0" borderId="48" xfId="0" applyNumberFormat="1" applyFont="1" applyFill="1" applyBorder="1" applyAlignment="1">
      <x:alignment vertical="center"/>
    </x:xf>
    <x:xf numFmtId="41" fontId="69" fillId="0" borderId="41" xfId="0" applyNumberFormat="1" applyFont="1" applyFill="1" applyBorder="1" applyAlignment="1">
      <x:alignment vertical="center"/>
    </x:xf>
    <x:xf numFmtId="181" fontId="69" fillId="0" borderId="48" xfId="0" applyNumberFormat="1" applyFont="1" applyFill="1" applyBorder="1" applyAlignment="1">
      <x:alignment vertical="center"/>
    </x:xf>
    <x:xf numFmtId="181" fontId="69" fillId="0" borderId="41" xfId="0" applyNumberFormat="1" applyFont="1" applyFill="1" applyBorder="1" applyAlignment="1">
      <x:alignment vertical="center"/>
    </x:xf>
    <x:xf numFmtId="0" fontId="69" fillId="6" borderId="48" xfId="0" applyNumberFormat="1" applyFont="1" applyFill="1" applyBorder="1" applyAlignment="1">
      <x:alignment vertical="center"/>
    </x:xf>
    <x:xf numFmtId="0" fontId="68" fillId="0" borderId="48" xfId="0" applyNumberFormat="1" applyFont="1" applyFill="1" applyBorder="1"/>
    <x:xf numFmtId="0" fontId="71" fillId="0" borderId="48" xfId="0" applyNumberFormat="1" applyFont="1" applyFill="1" applyBorder="1"/>
    <x:xf numFmtId="41" fontId="71" fillId="0" borderId="48" xfId="0" applyNumberFormat="1" applyFont="1" applyFill="1" applyBorder="1"/>
    <x:xf numFmtId="0" fontId="69" fillId="0" borderId="41" xfId="0" applyNumberFormat="1" applyFont="1" applyFill="1" applyBorder="1" applyAlignment="1">
      <x:alignment horizontal="center" vertical="center"/>
    </x:xf>
    <x:xf numFmtId="0" fontId="69" fillId="0" borderId="48" xfId="0" applyNumberFormat="1" applyFont="1" applyFill="1" applyBorder="1" applyAlignment="1">
      <x:alignment horizontal="center" vertical="center"/>
    </x:xf>
    <x:xf numFmtId="0" fontId="69" fillId="6" borderId="48" xfId="0" applyNumberFormat="1" applyFont="1" applyFill="1" applyBorder="1" applyAlignment="1">
      <x:alignment horizontal="center" vertical="center"/>
    </x:xf>
    <x:xf numFmtId="41" fontId="69" fillId="6" borderId="48" xfId="0" applyNumberFormat="1" applyFont="1" applyFill="1" applyBorder="1" applyAlignment="1">
      <x:alignment horizontal="center" vertical="center"/>
    </x:xf>
    <x:xf numFmtId="14" fontId="69" fillId="6" borderId="48" xfId="0" applyNumberFormat="1" applyFont="1" applyFill="1" applyBorder="1" applyAlignment="1">
      <x:alignment horizontal="center" vertical="center"/>
    </x:xf>
    <x:xf numFmtId="14" fontId="69" fillId="8" borderId="48" xfId="0" applyNumberFormat="1" applyFont="1" applyFill="1" applyBorder="1" applyAlignment="1">
      <x:alignment horizontal="center" vertical="center"/>
    </x:xf>
    <x:xf numFmtId="0" fontId="70" fillId="7" borderId="51" xfId="0" applyNumberFormat="1" applyFont="1" applyFill="1" applyBorder="1" applyAlignment="1">
      <x:alignment horizontal="center" vertical="center"/>
    </x:xf>
    <x:xf numFmtId="0" fontId="70" fillId="7" borderId="52" xfId="0" applyNumberFormat="1" applyFont="1" applyFill="1" applyBorder="1" applyAlignment="1">
      <x:alignment horizontal="center" vertical="center"/>
    </x:xf>
    <x:xf numFmtId="41" fontId="70" fillId="7" borderId="52" xfId="0" applyNumberFormat="1" applyFont="1" applyFill="1" applyBorder="1" applyAlignment="1">
      <x:alignment horizontal="center" vertical="center"/>
    </x:xf>
    <x:xf numFmtId="0" fontId="70" fillId="7" borderId="53" xfId="0" applyNumberFormat="1" applyFont="1" applyFill="1" applyBorder="1" applyAlignment="1">
      <x:alignment horizontal="center" vertical="center"/>
    </x:xf>
    <x:xf numFmtId="41" fontId="69" fillId="8" borderId="48" xfId="0" applyNumberFormat="1" applyFont="1" applyFill="1" applyBorder="1" applyAlignment="1">
      <x:alignment horizontal="center" vertical="center"/>
    </x:xf>
    <x:xf numFmtId="0" fontId="70" fillId="7" borderId="48" xfId="0" applyNumberFormat="1" applyFont="1" applyFill="1" applyBorder="1" applyAlignment="1">
      <x:alignment horizontal="center" vertical="center"/>
    </x:xf>
    <x:xf numFmtId="181" fontId="70" fillId="7" borderId="48" xfId="0" applyNumberFormat="1" applyFont="1" applyFill="1" applyBorder="1" applyAlignment="1">
      <x:alignment horizontal="center" vertical="center"/>
    </x:xf>
    <x:xf numFmtId="41" fontId="70" fillId="7" borderId="48" xfId="0" applyNumberFormat="1" applyFont="1" applyFill="1" applyBorder="1" applyAlignment="1">
      <x:alignment horizontal="center" vertical="center"/>
    </x:xf>
    <x:xf numFmtId="0" fontId="76" fillId="0" borderId="48" xfId="0" applyNumberFormat="1" applyFont="1" applyFill="1" applyBorder="1"/>
    <x:xf numFmtId="0" fontId="69" fillId="8" borderId="48" xfId="0" applyNumberFormat="1" applyFont="1" applyFill="1" applyBorder="1" applyAlignment="1">
      <x:alignment horizontal="center" vertical="center"/>
    </x:xf>
    <x:xf numFmtId="181" fontId="69" fillId="8" borderId="48" xfId="0" applyNumberFormat="1" applyFont="1" applyFill="1" applyBorder="1" applyAlignment="1">
      <x:alignment horizontal="center" vertical="center"/>
    </x:xf>
    <x:xf numFmtId="181" fontId="69" fillId="0" borderId="48" xfId="0" applyNumberFormat="1" applyFont="1" applyFill="1" applyBorder="1" applyAlignment="1">
      <x:alignment horizontal="center" vertical="center"/>
    </x:xf>
    <x:xf numFmtId="41" fontId="69" fillId="0" borderId="48" xfId="0" applyNumberFormat="1" applyFont="1" applyFill="1" applyBorder="1" applyAlignment="1">
      <x:alignment horizontal="center" vertical="center"/>
    </x:xf>
    <x:xf numFmtId="181" fontId="69" fillId="6" borderId="48" xfId="0" applyNumberFormat="1" applyFont="1" applyFill="1" applyBorder="1" applyAlignment="1">
      <x:alignment horizontal="center" vertical="center"/>
    </x:xf>
    <x:xf numFmtId="0" fontId="69" fillId="8" borderId="48" xfId="0" applyNumberFormat="1" applyFont="1" applyFill="1" applyBorder="1" applyAlignment="1">
      <x:alignment horizontal="left" vertical="center"/>
    </x:xf>
    <x:xf numFmtId="0" fontId="69" fillId="6" borderId="48" xfId="0" applyNumberFormat="1" applyFont="1" applyFill="1" applyBorder="1" applyAlignment="1">
      <x:alignment horizontal="left" vertical="center"/>
    </x:xf>
    <x:xf numFmtId="0" fontId="69" fillId="6" borderId="48" xfId="0" applyNumberFormat="1" applyFont="1" applyFill="1" applyBorder="1" applyAlignment="1">
      <x:alignment horizontal="center" vertical="center" wrapText="1"/>
    </x:xf>
    <x:xf numFmtId="0" fontId="69" fillId="0" borderId="48" xfId="0" applyNumberFormat="1" applyFont="1" applyFill="1" applyBorder="1" applyAlignment="1">
      <x:alignment horizontal="left" vertical="center"/>
    </x:xf>
    <x:xf numFmtId="0" fontId="72" fillId="5" borderId="54" xfId="0" applyNumberFormat="1" applyFont="1" applyFill="1" applyBorder="1" applyAlignment="1">
      <x:alignment horizontal="center" vertical="center"/>
    </x:xf>
    <x:xf numFmtId="0" fontId="74" fillId="5" borderId="55" xfId="0" applyNumberFormat="1" applyFont="1" applyFill="1" applyBorder="1" applyAlignment="1">
      <x:alignment horizontal="center" vertical="center"/>
    </x:xf>
    <x:xf numFmtId="0" fontId="74" fillId="5" borderId="56" xfId="0" applyNumberFormat="1" applyFont="1" applyFill="1" applyBorder="1" applyAlignment="1">
      <x:alignment horizontal="center" vertical="center"/>
    </x:xf>
    <x:xf numFmtId="0" fontId="72" fillId="5" borderId="48" xfId="0" applyNumberFormat="1" applyFont="1" applyFill="1" applyBorder="1" applyAlignment="1">
      <x:alignment horizontal="center" vertical="center"/>
    </x:xf>
    <x:xf numFmtId="0" fontId="8" fillId="2" borderId="42" xfId="0" applyNumberFormat="1" applyFont="1" applyFill="1" applyBorder="1" applyAlignment="1">
      <x:alignment horizontal="left" vertical="center"/>
    </x:xf>
    <x:xf numFmtId="0" fontId="9" fillId="0" borderId="42" xfId="0" applyNumberFormat="1" applyFont="1" applyFill="1" applyBorder="1"/>
    <x:xf numFmtId="0" fontId="12" fillId="2" borderId="42" xfId="0" applyNumberFormat="1" applyFont="1" applyFill="1" applyBorder="1" applyAlignment="1">
      <x:alignment vertical="center" wrapText="1"/>
    </x:xf>
    <x:xf numFmtId="0" fontId="35" fillId="4" borderId="41" xfId="0" applyNumberFormat="1" applyFont="1" applyFill="1" applyBorder="1" applyAlignment="1">
      <x:alignment horizontal="center" vertical="center" wrapText="1"/>
    </x:xf>
    <x:xf numFmtId="0" fontId="49" fillId="2" borderId="41" xfId="0" applyNumberFormat="1" applyFont="1" applyFill="1" applyBorder="1" applyAlignment="1">
      <x:alignment horizontal="left"/>
    </x:xf>
    <x:xf numFmtId="0" fontId="32" fillId="0" borderId="57" xfId="0" applyNumberFormat="1" applyFont="1" applyFill="1" applyBorder="1" applyAlignment="1">
      <x:alignment horizontal="center" vertical="center"/>
    </x:xf>
    <x:xf numFmtId="0" fontId="32" fillId="0" borderId="58" xfId="0" applyNumberFormat="1" applyFont="1" applyFill="1" applyBorder="1" applyAlignment="1">
      <x:alignment horizontal="center" vertical="center"/>
    </x:xf>
    <x:xf numFmtId="0" fontId="32" fillId="0" borderId="57" xfId="0" applyNumberFormat="1" applyFont="1" applyFill="1" applyBorder="1" applyAlignment="1">
      <x:alignment horizontal="left" vertical="center"/>
    </x:xf>
    <x:xf numFmtId="0" fontId="32" fillId="0" borderId="58" xfId="0" applyNumberFormat="1" applyFont="1" applyFill="1" applyBorder="1" applyAlignment="1">
      <x:alignment horizontal="left" vertical="center"/>
    </x:xf>
    <x:xf numFmtId="0" fontId="38" fillId="0" borderId="57" xfId="0" applyNumberFormat="1" applyFont="1" applyFill="1" applyBorder="1" applyAlignment="1">
      <x:alignment horizontal="left" vertical="center" wrapText="1"/>
    </x:xf>
    <x:xf numFmtId="0" fontId="38" fillId="0" borderId="58" xfId="0" applyNumberFormat="1" applyFont="1" applyFill="1" applyBorder="1" applyAlignment="1">
      <x:alignment horizontal="left" vertical="center" wrapText="1"/>
    </x:xf>
    <x:xf numFmtId="0" fontId="38" fillId="0" borderId="59" xfId="0" applyNumberFormat="1" applyFont="1" applyFill="1" applyBorder="1" applyAlignment="1">
      <x:alignment horizontal="left" vertical="center" wrapText="1"/>
    </x:xf>
    <x:xf numFmtId="0" fontId="38" fillId="0" borderId="57" xfId="0" applyNumberFormat="1" applyFont="1" applyFill="1" applyBorder="1" applyAlignment="1">
      <x:alignment horizontal="center" vertical="center" wrapText="1"/>
    </x:xf>
    <x:xf numFmtId="0" fontId="38" fillId="0" borderId="58" xfId="0" applyNumberFormat="1" applyFont="1" applyFill="1" applyBorder="1" applyAlignment="1">
      <x:alignment horizontal="center" vertical="center" wrapText="1"/>
    </x:xf>
    <x:xf numFmtId="0" fontId="38" fillId="0" borderId="59" xfId="0" applyNumberFormat="1" applyFont="1" applyFill="1" applyBorder="1" applyAlignment="1">
      <x:alignment horizontal="center" vertical="center" wrapText="1"/>
    </x:xf>
    <x:xf numFmtId="0" fontId="32" fillId="0" borderId="49" xfId="0" applyNumberFormat="1" applyFont="1" applyFill="1" applyBorder="1" applyAlignment="1">
      <x:alignment horizontal="center" vertical="center"/>
    </x:xf>
    <x:xf numFmtId="0" fontId="9" fillId="0" borderId="46" xfId="0" applyNumberFormat="1" applyFont="1" applyFill="1" applyBorder="1"/>
    <x:xf numFmtId="0" fontId="38" fillId="0" borderId="60" xfId="0" applyNumberFormat="1" applyFont="1" applyFill="1" applyBorder="1" applyAlignment="1">
      <x:alignment horizontal="center" vertical="center" wrapText="1"/>
    </x:xf>
    <x:xf numFmtId="0" fontId="38" fillId="0" borderId="61" xfId="0" applyNumberFormat="1" applyFont="1" applyFill="1" applyBorder="1" applyAlignment="1">
      <x:alignment horizontal="center" vertical="center" wrapText="1"/>
    </x:xf>
    <x:xf numFmtId="0" fontId="38" fillId="0" borderId="62" xfId="0" applyNumberFormat="1" applyFont="1" applyFill="1" applyBorder="1" applyAlignment="1">
      <x:alignment horizontal="center" vertical="center" wrapText="1"/>
    </x:xf>
    <x:xf numFmtId="0" fontId="32" fillId="0" borderId="41" xfId="0" applyNumberFormat="1" applyFont="1" applyFill="1" applyBorder="1" applyAlignment="1">
      <x:alignment horizontal="left" vertical="center"/>
    </x:xf>
    <x:xf numFmtId="0" fontId="75" fillId="0" borderId="63" xfId="0" applyNumberFormat="1" applyFont="1" applyFill="1" applyBorder="1" applyAlignment="1">
      <x:alignment horizontal="center" vertical="center" wrapText="1"/>
    </x:xf>
    <x:xf numFmtId="0" fontId="75" fillId="0" borderId="64" xfId="0" applyNumberFormat="1" applyFont="1" applyFill="1" applyBorder="1" applyAlignment="1">
      <x:alignment horizontal="center" vertical="center" wrapText="1"/>
    </x:xf>
    <x:xf numFmtId="0" fontId="75" fillId="0" borderId="65" xfId="0" applyNumberFormat="1" applyFont="1" applyFill="1" applyBorder="1" applyAlignment="1">
      <x:alignment horizontal="center" vertical="center" wrapText="1"/>
    </x:xf>
    <x:xf numFmtId="0" fontId="75" fillId="0" borderId="66" xfId="0" applyNumberFormat="1" applyFont="1" applyFill="1" applyBorder="1" applyAlignment="1">
      <x:alignment horizontal="center" vertical="center" wrapText="1"/>
    </x:xf>
    <x:xf numFmtId="0" fontId="75" fillId="0" borderId="41" xfId="0" applyNumberFormat="1" applyFont="1" applyFill="1" applyBorder="1" applyAlignment="1">
      <x:alignment horizontal="center" vertical="center" wrapText="1"/>
    </x:xf>
    <x:xf numFmtId="0" fontId="75" fillId="0" borderId="67" xfId="0" applyNumberFormat="1" applyFont="1" applyFill="1" applyBorder="1" applyAlignment="1">
      <x:alignment horizontal="center" vertical="center" wrapText="1"/>
    </x:xf>
    <x:xf numFmtId="0" fontId="75" fillId="0" borderId="68" xfId="0" applyNumberFormat="1" applyFont="1" applyFill="1" applyBorder="1" applyAlignment="1">
      <x:alignment horizontal="center" vertical="center" wrapText="1"/>
    </x:xf>
    <x:xf numFmtId="0" fontId="75" fillId="0" borderId="69" xfId="0" applyNumberFormat="1" applyFont="1" applyFill="1" applyBorder="1" applyAlignment="1">
      <x:alignment horizontal="center" vertical="center" wrapText="1"/>
    </x:xf>
    <x:xf numFmtId="0" fontId="75" fillId="0" borderId="70" xfId="0" applyNumberFormat="1" applyFont="1" applyFill="1" applyBorder="1" applyAlignment="1">
      <x:alignment horizontal="center" vertical="center" wrapText="1"/>
    </x:xf>
    <x:xf numFmtId="0" fontId="44" fillId="2" borderId="42" xfId="0" applyNumberFormat="1" applyFont="1" applyFill="1" applyBorder="1" applyAlignment="1">
      <x:alignment horizontal="left" vertical="center"/>
    </x:xf>
    <x:xf numFmtId="0" fontId="28" fillId="0" borderId="45" xfId="0" applyNumberFormat="1" applyFont="1" applyFill="1" applyBorder="1" applyAlignment="1">
      <x:alignment horizontal="center" vertical="center"/>
    </x:xf>
    <x:xf numFmtId="0" fontId="9" fillId="0" borderId="45" xfId="0" applyNumberFormat="1" applyFont="1" applyFill="1" applyBorder="1"/>
    <x:xf numFmtId="0" fontId="71" fillId="0" borderId="0" xfId="0" applyNumberFormat="1" applyFont="1" applyFill="1" applyBorder="1"/>
    <x:xf numFmtId="0" fontId="71" fillId="0" borderId="0" xfId="0" applyNumberFormat="1" applyFont="1" applyFill="1" applyBorder="1" applyAlignment="1">
      <x:alignment vertical="center"/>
    </x:xf>
    <x:xf numFmtId="0" fontId="71" fillId="0" borderId="41" xfId="0" applyNumberFormat="1" applyFont="1" applyFill="1" applyBorder="1" applyAlignment="1">
      <x:alignment vertical="center"/>
    </x:xf>
    <x:xf numFmtId="0" fontId="71" fillId="0" borderId="0" xfId="0" applyNumberFormat="1" applyFont="1" applyFill="1" applyBorder="1" applyAlignment="1">
      <x:alignment vertical="center" wrapText="1"/>
    </x:xf>
    <x:xf numFmtId="0" fontId="71" fillId="0" borderId="41" xfId="0" applyNumberFormat="1" applyFont="1" applyFill="1" applyBorder="1" applyAlignment="1">
      <x:alignment vertical="center" wrapText="1"/>
    </x:xf>
    <x:xf numFmtId="0" fontId="71" fillId="9" borderId="0" xfId="0" applyNumberFormat="1" applyFont="1" applyFill="1" applyBorder="1" applyAlignment="1">
      <x:alignment vertical="center" wrapText="1"/>
    </x:xf>
    <x:xf numFmtId="0" fontId="71" fillId="9" borderId="41" xfId="0" applyNumberFormat="1" applyFont="1" applyFill="1" applyBorder="1" applyAlignment="1">
      <x:alignment vertical="center" wrapText="1"/>
    </x:xf>
    <x:xf numFmtId="0" fontId="79" fillId="9" borderId="0" xfId="0" applyNumberFormat="1" applyFont="1" applyFill="1" applyBorder="1" applyAlignment="1">
      <x:alignment vertical="center" wrapText="1"/>
    </x:xf>
    <x:xf numFmtId="0" fontId="79" fillId="9" borderId="41" xfId="0" applyNumberFormat="1" applyFont="1" applyFill="1" applyBorder="1" applyAlignment="1">
      <x:alignment vertical="center" wrapText="1"/>
    </x:xf>
    <x:xf numFmtId="0" fontId="79" fillId="9" borderId="0" xfId="0" applyNumberFormat="1" applyFont="1" applyFill="1" applyBorder="1" applyAlignment="1">
      <x:alignment horizontal="center" vertical="center" wrapText="1"/>
    </x:xf>
    <x:xf numFmtId="0" fontId="79" fillId="9" borderId="41" xfId="0" applyNumberFormat="1" applyFont="1" applyFill="1" applyBorder="1" applyAlignment="1">
      <x:alignment horizontal="center" vertical="center" wrapText="1"/>
    </x:xf>
    <x:xf numFmtId="0" fontId="71" fillId="10" borderId="0" xfId="0" applyNumberFormat="1" applyFont="1" applyFill="1" applyBorder="1" applyAlignment="1">
      <x:alignment vertical="center" wrapText="1"/>
    </x:xf>
    <x:xf numFmtId="0" fontId="71" fillId="10" borderId="41" xfId="0" applyNumberFormat="1" applyFont="1" applyFill="1" applyBorder="1" applyAlignment="1">
      <x:alignment vertical="center" wrapText="1"/>
    </x:xf>
    <x:xf numFmtId="0" fontId="80" fillId="10" borderId="0" xfId="0" applyNumberFormat="1" applyFont="1" applyFill="1" applyBorder="1" applyAlignment="1">
      <x:alignment vertical="center" wrapText="1"/>
    </x:xf>
    <x:xf numFmtId="0" fontId="80" fillId="10" borderId="41" xfId="0" applyNumberFormat="1" applyFont="1" applyFill="1" applyBorder="1" applyAlignment="1">
      <x:alignment vertical="center" wrapText="1"/>
    </x:xf>
    <x:xf numFmtId="0" fontId="80" fillId="10" borderId="0" xfId="0" applyNumberFormat="1" applyFont="1" applyFill="1" applyBorder="1" applyAlignment="1">
      <x:alignment horizontal="center" vertical="center" wrapText="1"/>
    </x:xf>
    <x:xf numFmtId="0" fontId="80" fillId="10" borderId="41" xfId="0" applyNumberFormat="1" applyFont="1" applyFill="1" applyBorder="1" applyAlignment="1">
      <x:alignment horizontal="center" vertical="center" wrapText="1"/>
    </x:xf>
    <x:xf numFmtId="0" fontId="71" fillId="11" borderId="0" xfId="0" applyNumberFormat="1" applyFont="1" applyFill="1" applyBorder="1" applyAlignment="1">
      <x:alignment vertical="center" wrapText="1"/>
    </x:xf>
    <x:xf numFmtId="0" fontId="71" fillId="11" borderId="41" xfId="0" applyNumberFormat="1" applyFont="1" applyFill="1" applyBorder="1" applyAlignment="1">
      <x:alignment vertical="center" wrapText="1"/>
    </x:xf>
    <x:xf numFmtId="0" fontId="71" fillId="11" borderId="71" xfId="0" applyNumberFormat="1" applyFont="1" applyFill="1" applyBorder="1" applyAlignment="1">
      <x:alignment vertical="center" wrapText="1"/>
    </x:xf>
    <x:xf numFmtId="0" fontId="71" fillId="11" borderId="72" xfId="0" applyNumberFormat="1" applyFont="1" applyFill="1" applyBorder="1" applyAlignment="1">
      <x:alignment vertical="center" wrapText="1"/>
    </x:xf>
    <x:xf numFmtId="0" fontId="71" fillId="11" borderId="73" xfId="0" applyNumberFormat="1" applyFont="1" applyFill="1" applyBorder="1" applyAlignment="1">
      <x:alignment vertical="center" wrapText="1"/>
    </x:xf>
    <x:xf numFmtId="0" fontId="71" fillId="11" borderId="74" xfId="0" applyNumberFormat="1" applyFont="1" applyFill="1" applyBorder="1" applyAlignment="1">
      <x:alignment vertical="center" wrapText="1"/>
    </x:xf>
    <x:xf numFmtId="0" fontId="71" fillId="11" borderId="75" xfId="0" applyNumberFormat="1" applyFont="1" applyFill="1" applyBorder="1" applyAlignment="1">
      <x:alignment vertical="center" wrapText="1"/>
    </x:xf>
    <x:xf numFmtId="0" fontId="71" fillId="11" borderId="76" xfId="0" applyNumberFormat="1" applyFont="1" applyFill="1" applyBorder="1" applyAlignment="1">
      <x:alignment vertical="center" wrapText="1"/>
    </x:xf>
    <x:xf numFmtId="0" fontId="71" fillId="11" borderId="77" xfId="0" applyNumberFormat="1" applyFont="1" applyFill="1" applyBorder="1" applyAlignment="1">
      <x:alignment vertical="center" wrapText="1"/>
    </x:xf>
    <x:xf numFmtId="0" fontId="71" fillId="11" borderId="78" xfId="0" applyNumberFormat="1" applyFont="1" applyFill="1" applyBorder="1" applyAlignment="1">
      <x:alignment vertical="center" wrapText="1"/>
    </x:xf>
    <x:xf numFmtId="0" fontId="71" fillId="11" borderId="79" xfId="0" applyNumberFormat="1" applyFont="1" applyFill="1" applyBorder="1" applyAlignment="1">
      <x:alignment vertical="center" wrapText="1"/>
    </x:xf>
    <x:xf numFmtId="0" fontId="71" fillId="11" borderId="80" xfId="0" applyNumberFormat="1" applyFont="1" applyFill="1" applyBorder="1" applyAlignment="1">
      <x:alignment vertical="center" wrapText="1"/>
    </x:xf>
    <x:xf numFmtId="0" fontId="71" fillId="11" borderId="81" xfId="0" applyNumberFormat="1" applyFont="1" applyFill="1" applyBorder="1" applyAlignment="1">
      <x:alignment vertical="center" wrapText="1"/>
    </x:xf>
    <x:xf numFmtId="0" fontId="71" fillId="11" borderId="82" xfId="0" applyNumberFormat="1" applyFont="1" applyFill="1" applyBorder="1" applyAlignment="1">
      <x:alignment vertical="center" wrapText="1"/>
    </x:xf>
    <x:xf numFmtId="0" fontId="71" fillId="11" borderId="83" xfId="0" applyNumberFormat="1" applyFont="1" applyFill="1" applyBorder="1" applyAlignment="1">
      <x:alignment vertical="center" wrapText="1"/>
    </x:xf>
    <x:xf numFmtId="0" fontId="71" fillId="11" borderId="84" xfId="0" applyNumberFormat="1" applyFont="1" applyFill="1" applyBorder="1" applyAlignment="1">
      <x:alignment vertical="center" wrapText="1"/>
    </x:xf>
    <x:xf numFmtId="0" fontId="71" fillId="11" borderId="85" xfId="0" applyNumberFormat="1" applyFont="1" applyFill="1" applyBorder="1" applyAlignment="1">
      <x:alignment vertical="center" wrapText="1"/>
    </x:xf>
    <x:xf numFmtId="0" fontId="71" fillId="11" borderId="86" xfId="0" applyNumberFormat="1" applyFont="1" applyFill="1" applyBorder="1" applyAlignment="1">
      <x:alignment vertical="center" wrapText="1"/>
    </x:xf>
    <x:xf numFmtId="0" fontId="71" fillId="11" borderId="87" xfId="0" applyNumberFormat="1" applyFont="1" applyFill="1" applyBorder="1" applyAlignment="1">
      <x:alignment vertical="center" wrapText="1"/>
    </x:xf>
    <x:xf numFmtId="0" fontId="71" fillId="11" borderId="88" xfId="0" applyNumberFormat="1" applyFont="1" applyFill="1" applyBorder="1" applyAlignment="1">
      <x:alignment vertical="center" wrapText="1"/>
    </x:xf>
    <x:xf numFmtId="0" fontId="71" fillId="11" borderId="71" xfId="0" applyNumberFormat="1" applyFont="1" applyFill="1" applyBorder="1" applyAlignment="1">
      <x:alignment horizontal="center" vertical="center" wrapText="1"/>
    </x:xf>
    <x:xf numFmtId="0" fontId="71" fillId="11" borderId="74" xfId="0" applyNumberFormat="1" applyFont="1" applyFill="1" applyBorder="1" applyAlignment="1">
      <x:alignment horizontal="center" vertical="center" wrapText="1"/>
    </x:xf>
    <x:xf numFmtId="0" fontId="71" fillId="11" borderId="77" xfId="0" applyNumberFormat="1" applyFont="1" applyFill="1" applyBorder="1" applyAlignment="1">
      <x:alignment horizontal="center" vertical="center" wrapText="1"/>
    </x:xf>
    <x:xf numFmtId="0" fontId="71" fillId="11" borderId="80" xfId="0" applyNumberFormat="1" applyFont="1" applyFill="1" applyBorder="1" applyAlignment="1">
      <x:alignment horizontal="center" vertical="center" wrapText="1"/>
    </x:xf>
    <x:xf numFmtId="0" fontId="71" fillId="11" borderId="83" xfId="0" applyNumberFormat="1" applyFont="1" applyFill="1" applyBorder="1" applyAlignment="1">
      <x:alignment horizontal="center" vertical="center" wrapText="1"/>
    </x:xf>
    <x:xf numFmtId="0" fontId="71" fillId="11" borderId="86" xfId="0" applyNumberFormat="1" applyFont="1" applyFill="1" applyBorder="1" applyAlignment="1">
      <x:alignment horizontal="center" vertical="center" wrapText="1"/>
    </x:xf>
    <x:xf numFmtId="0" fontId="71" fillId="11" borderId="72" xfId="0" applyNumberFormat="1" applyFont="1" applyFill="1" applyBorder="1" applyAlignment="1">
      <x:alignment horizontal="center" vertical="center" wrapText="1"/>
    </x:xf>
    <x:xf numFmtId="0" fontId="71" fillId="11" borderId="75" xfId="0" applyNumberFormat="1" applyFont="1" applyFill="1" applyBorder="1" applyAlignment="1">
      <x:alignment horizontal="center" vertical="center" wrapText="1"/>
    </x:xf>
    <x:xf numFmtId="0" fontId="71" fillId="11" borderId="78" xfId="0" applyNumberFormat="1" applyFont="1" applyFill="1" applyBorder="1" applyAlignment="1">
      <x:alignment horizontal="center" vertical="center" wrapText="1"/>
    </x:xf>
    <x:xf numFmtId="0" fontId="71" fillId="11" borderId="81" xfId="0" applyNumberFormat="1" applyFont="1" applyFill="1" applyBorder="1" applyAlignment="1">
      <x:alignment horizontal="center" vertical="center" wrapText="1"/>
    </x:xf>
    <x:xf numFmtId="0" fontId="71" fillId="11" borderId="84" xfId="0" applyNumberFormat="1" applyFont="1" applyFill="1" applyBorder="1" applyAlignment="1">
      <x:alignment horizontal="center" vertical="center" wrapText="1"/>
    </x:xf>
    <x:xf numFmtId="0" fontId="71" fillId="11" borderId="87" xfId="0" applyNumberFormat="1" applyFont="1" applyFill="1" applyBorder="1" applyAlignment="1">
      <x:alignment horizontal="center" vertical="center" wrapText="1"/>
    </x:xf>
    <x:xf numFmtId="0" fontId="71" fillId="11" borderId="73" xfId="0" applyNumberFormat="1" applyFont="1" applyFill="1" applyBorder="1" applyAlignment="1">
      <x:alignment horizontal="center" vertical="center" wrapText="1"/>
    </x:xf>
    <x:xf numFmtId="0" fontId="71" fillId="11" borderId="76" xfId="0" applyNumberFormat="1" applyFont="1" applyFill="1" applyBorder="1" applyAlignment="1">
      <x:alignment horizontal="center" vertical="center" wrapText="1"/>
    </x:xf>
    <x:xf numFmtId="0" fontId="71" fillId="11" borderId="79" xfId="0" applyNumberFormat="1" applyFont="1" applyFill="1" applyBorder="1" applyAlignment="1">
      <x:alignment horizontal="center" vertical="center" wrapText="1"/>
    </x:xf>
    <x:xf numFmtId="0" fontId="71" fillId="11" borderId="82" xfId="0" applyNumberFormat="1" applyFont="1" applyFill="1" applyBorder="1" applyAlignment="1">
      <x:alignment horizontal="center" vertical="center" wrapText="1"/>
    </x:xf>
    <x:xf numFmtId="0" fontId="71" fillId="11" borderId="85" xfId="0" applyNumberFormat="1" applyFont="1" applyFill="1" applyBorder="1" applyAlignment="1">
      <x:alignment horizontal="center" vertical="center" wrapText="1"/>
    </x:xf>
    <x:xf numFmtId="0" fontId="71" fillId="11" borderId="88" xfId="0" applyNumberFormat="1" applyFont="1" applyFill="1" applyBorder="1" applyAlignment="1">
      <x:alignment horizontal="center" vertical="center" wrapText="1"/>
    </x:xf>
    <x:xf numFmtId="200" fontId="71" fillId="11" borderId="72" xfId="0" applyNumberFormat="1" applyFont="1" applyFill="1" applyBorder="1" applyAlignment="1">
      <x:alignment horizontal="center" vertical="center" wrapText="1"/>
    </x:xf>
    <x:xf numFmtId="200" fontId="71" fillId="11" borderId="75" xfId="0" applyNumberFormat="1" applyFont="1" applyFill="1" applyBorder="1" applyAlignment="1">
      <x:alignment horizontal="center" vertical="center" wrapText="1"/>
    </x:xf>
    <x:xf numFmtId="200" fontId="71" fillId="11" borderId="78" xfId="0" applyNumberFormat="1" applyFont="1" applyFill="1" applyBorder="1" applyAlignment="1">
      <x:alignment horizontal="center" vertical="center" wrapText="1"/>
    </x:xf>
    <x:xf numFmtId="200" fontId="71" fillId="11" borderId="81" xfId="0" applyNumberFormat="1" applyFont="1" applyFill="1" applyBorder="1" applyAlignment="1">
      <x:alignment horizontal="center" vertical="center" wrapText="1"/>
    </x:xf>
    <x:xf numFmtId="200" fontId="71" fillId="11" borderId="84" xfId="0" applyNumberFormat="1" applyFont="1" applyFill="1" applyBorder="1" applyAlignment="1">
      <x:alignment horizontal="center" vertical="center" wrapText="1"/>
    </x:xf>
    <x:xf numFmtId="200" fontId="71" fillId="11" borderId="87" xfId="0" applyNumberFormat="1" applyFont="1" applyFill="1" applyBorder="1" applyAlignment="1">
      <x:alignment horizontal="center" vertical="center" wrapText="1"/>
    </x:xf>
    <x:xf numFmtId="201" fontId="71" fillId="11" borderId="72" xfId="0" applyNumberFormat="1" applyFont="1" applyFill="1" applyBorder="1" applyAlignment="1">
      <x:alignment horizontal="center" vertical="center" wrapText="1"/>
    </x:xf>
    <x:xf numFmtId="201" fontId="71" fillId="11" borderId="75" xfId="0" applyNumberFormat="1" applyFont="1" applyFill="1" applyBorder="1" applyAlignment="1">
      <x:alignment horizontal="center" vertical="center" wrapText="1"/>
    </x:xf>
    <x:xf numFmtId="201" fontId="71" fillId="11" borderId="78" xfId="0" applyNumberFormat="1" applyFont="1" applyFill="1" applyBorder="1" applyAlignment="1">
      <x:alignment horizontal="center" vertical="center" wrapText="1"/>
    </x:xf>
    <x:xf numFmtId="201" fontId="71" fillId="11" borderId="81" xfId="0" applyNumberFormat="1" applyFont="1" applyFill="1" applyBorder="1" applyAlignment="1">
      <x:alignment horizontal="center" vertical="center" wrapText="1"/>
    </x:xf>
    <x:xf numFmtId="201" fontId="71" fillId="11" borderId="84" xfId="0" applyNumberFormat="1" applyFont="1" applyFill="1" applyBorder="1" applyAlignment="1">
      <x:alignment horizontal="center" vertical="center" wrapText="1"/>
    </x:xf>
    <x:xf numFmtId="201" fontId="71" fillId="11" borderId="87" xfId="0" applyNumberFormat="1" applyFont="1" applyFill="1" applyBorder="1" applyAlignment="1">
      <x:alignment horizontal="center" vertical="center" wrapText="1"/>
    </x:xf>
    <x:xf numFmtId="179" fontId="71" fillId="11" borderId="73" xfId="0" applyNumberFormat="1" applyFont="1" applyFill="1" applyBorder="1" applyAlignment="1">
      <x:alignment horizontal="center" vertical="center" wrapText="1"/>
    </x:xf>
    <x:xf numFmtId="179" fontId="71" fillId="11" borderId="76" xfId="0" applyNumberFormat="1" applyFont="1" applyFill="1" applyBorder="1" applyAlignment="1">
      <x:alignment horizontal="center" vertical="center" wrapText="1"/>
    </x:xf>
    <x:xf numFmtId="179" fontId="71" fillId="11" borderId="79" xfId="0" applyNumberFormat="1" applyFont="1" applyFill="1" applyBorder="1" applyAlignment="1">
      <x:alignment horizontal="center" vertical="center" wrapText="1"/>
    </x:xf>
    <x:xf numFmtId="179" fontId="71" fillId="11" borderId="82" xfId="0" applyNumberFormat="1" applyFont="1" applyFill="1" applyBorder="1" applyAlignment="1">
      <x:alignment horizontal="center" vertical="center" wrapText="1"/>
    </x:xf>
    <x:xf numFmtId="179" fontId="71" fillId="11" borderId="85" xfId="0" applyNumberFormat="1" applyFont="1" applyFill="1" applyBorder="1" applyAlignment="1">
      <x:alignment horizontal="center" vertical="center" wrapText="1"/>
    </x:xf>
    <x:xf numFmtId="179" fontId="71" fillId="11" borderId="88" xfId="0" applyNumberFormat="1" applyFont="1" applyFill="1" applyBorder="1" applyAlignment="1">
      <x:alignment horizontal="center" vertical="center" wrapText="1"/>
    </x:xf>
  </x:cellXfs>
  <x:cellStyles count="3">
    <x:cellStyle name="쉼표 [0]" xfId="2"/>
    <x:cellStyle name="표준" xfId="0"/>
    <x:cellStyle name="표준 2" xfId="1"/>
  </x:cellStyles>
  <x:dxfs count="125"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theme="9" tint="0.79998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28271b0d24e48" /><Relationship Type="http://schemas.openxmlformats.org/officeDocument/2006/relationships/theme" Target="/xl/theme/theme1.xml" Id="Rb8289e9433634f03" /><Relationship Type="http://schemas.openxmlformats.org/officeDocument/2006/relationships/sharedStrings" Target="/xl/sharedStrings.xml" Id="R47ddfe1fdb914f34" /><Relationship Type="http://schemas.openxmlformats.org/officeDocument/2006/relationships/worksheet" Target="/xl/worksheets/sheet1.xml" Id="Rd89bdc9993264e7b" /><Relationship Type="http://schemas.openxmlformats.org/officeDocument/2006/relationships/worksheet" Target="/xl/worksheets/sheet2.xml" Id="R26d67ade210a4354" /><Relationship Type="http://schemas.openxmlformats.org/officeDocument/2006/relationships/worksheet" Target="/xl/worksheets/sheet3.xml" Id="R6a933cd4a22c437c" /><Relationship Type="http://schemas.openxmlformats.org/officeDocument/2006/relationships/worksheet" Target="/xl/worksheets/sheet4.xml" Id="R8b73a350c0c34789" /><Relationship Type="http://schemas.openxmlformats.org/officeDocument/2006/relationships/worksheet" Target="/xl/worksheets/sheet5.xml" Id="R7f316b65024741b0" /><Relationship Type="http://schemas.openxmlformats.org/officeDocument/2006/relationships/worksheet" Target="/xl/worksheets/sheet6.xml" Id="Rf48ecb14829a4619" /><Relationship Type="http://schemas.openxmlformats.org/officeDocument/2006/relationships/worksheet" Target="/xl/worksheets/sheet7.xml" Id="Ra09f93c628b247c6" /><Relationship Type="http://schemas.openxmlformats.org/officeDocument/2006/relationships/worksheet" Target="/xl/worksheets/sheet8.xml" Id="R8437032fae924735" /><Relationship Type="http://schemas.openxmlformats.org/officeDocument/2006/relationships/worksheet" Target="/xl/worksheets/sheet9.xml" Id="R6266a0065f9942a6" /><Relationship Type="http://schemas.openxmlformats.org/officeDocument/2006/relationships/worksheet" Target="/xl/worksheets/sheet10.xml" Id="R1a8cf739ad044fac" /><Relationship Type="http://schemas.openxmlformats.org/officeDocument/2006/relationships/worksheet" Target="/xl/worksheets/sheet11.xml" Id="Rdb300fcedee44c5f" /><Relationship Type="http://schemas.microsoft.com/office/2017/10/relationships/person" Target="/xl/persons/person.xml" Id="Rc88f79964cef4e0d" /></Relationships>
</file>

<file path=xl/persons/person.xml><?xml version="1.0" encoding="utf-8"?>
<xltc:personList xmlns:xltc="http://schemas.microsoft.com/office/spreadsheetml/2018/threadedcomments">
  <xltc:person displayName="JS.KANG" id="{DC818089-ED1F-282E-9FF1-8789D485BE43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f15b1ed1e374d87" /><Relationship Type="http://schemas.openxmlformats.org/officeDocument/2006/relationships/vmlDrawing" Target="/xl/drawings/vmldrawing.vml" Id="Re44b9db3a89244a1" /></Relationships>
</file>

<file path=xl/worksheets/sheet1.xml><?xml version="1.0" encoding="utf-8"?>
<x:worksheet xmlns:x="http://schemas.openxmlformats.org/spreadsheetml/2006/main">
  <x:sheetFormatPr defaultRowHeight="24"/>
  <x:cols>
    <x:col min="1" max="1" width="6" style="166" hidden="0" customWidth="1"/>
    <x:col min="2" max="2" width="31" style="135" hidden="0" customWidth="1"/>
    <x:col min="3" max="3" width="64" style="135" hidden="0" customWidth="1"/>
    <x:col min="4" max="4" width="12" style="158" hidden="0" customWidth="1"/>
    <x:col min="5" max="5" width="12" style="156" hidden="0" customWidth="1"/>
    <x:col min="6" max="6" width="12" style="156" hidden="0" customWidth="1"/>
    <x:col min="7" max="7" width="18" style="166" hidden="0" customWidth="1"/>
    <x:col min="8" max="8" width="18" style="135" hidden="0" customWidth="1"/>
    <x:col min="9" max="9" width="5" style="135" hidden="0" customWidth="1"/>
    <x:col min="10" max="12" width="9.140625" style="135" customWidth="0"/>
    <x:col min="13" max="13" width="26" style="135" hidden="0" customWidth="1"/>
    <x:col min="14" max="14" width="58" style="135" hidden="0" customWidth="1"/>
    <x:col min="15" max="15" width="12" style="135" hidden="0" customWidth="1"/>
    <x:col min="16" max="16" width="12" style="135" hidden="0" customWidth="1"/>
    <x:col min="17" max="17" width="12" style="135" hidden="0" customWidth="1"/>
    <x:col min="18" max="18" width="15" style="135" hidden="0" customWidth="1"/>
    <x:col min="19" max="19" width="18" style="135" hidden="0" customWidth="1"/>
    <x:col min="20" max="20" width="23.42578125" style="135" customWidth="1"/>
    <x:col min="21" max="21" width="12.5703125" style="135" customWidth="1"/>
    <x:col min="22" max="16384" width="9.140625" style="135" customWidth="0"/>
    <x:col min="10" max="10" width="5" hidden="0" customWidth="1"/>
    <x:col min="11" max="11" width="5" hidden="0" customWidth="1"/>
    <x:col min="12" max="12" width="6" hidden="0" customWidth="1"/>
  </x:cols>
  <x:sheetData>
    <x:row r="1" ht="30" customHeight="1">
      <x:c r="A1" s="472" t="str">
        <x:v>현장 주소 (물류센터)</x:v>
      </x:c>
      <x:c r="B1" s="472"/>
      <x:c r="C1" s="472"/>
      <x:c r="D1" s="472"/>
      <x:c r="E1" s="472"/>
      <x:c r="F1" s="472"/>
      <x:c r="G1" s="472"/>
      <x:c r="H1" s="472"/>
      <x:c r="I1" s="466"/>
      <x:c r="J1" s="466"/>
      <x:c r="K1" s="466"/>
      <x:c r="L1" s="472" t="str">
        <x:v>쿠팡 현장주소</x:v>
      </x:c>
      <x:c r="M1" s="472"/>
      <x:c r="N1" s="472"/>
      <x:c r="O1" s="472"/>
      <x:c r="P1" s="472"/>
      <x:c r="Q1" s="472"/>
      <x:c r="R1" s="472"/>
      <x:c r="S1" s="472"/>
      <x:c r="T1"/>
      <x:c r="U1"/>
    </x:row>
    <x:row r="2" ht="22" customHeight="1">
      <x:c r="A2" s="478" t="str">
        <x:v>NO</x:v>
      </x:c>
      <x:c r="B2" s="478" t="str">
        <x:v>현장</x:v>
      </x:c>
      <x:c r="C2" s="478" t="str">
        <x:v>주소</x:v>
      </x:c>
      <x:c r="D2" s="478" t="str">
        <x:v>거리(km)</x:v>
      </x:c>
      <x:c r="E2" s="478" t="str">
        <x:v>톨비</x:v>
      </x:c>
      <x:c r="F2" s="478" t="str">
        <x:v>주유비</x:v>
      </x:c>
      <x:c r="G2" s="478" t="str">
        <x:v>기타</x:v>
      </x:c>
      <x:c r="H2" s="478" t="str">
        <x:v>Warranty End</x:v>
      </x:c>
      <x:c r="I2" s="466"/>
      <x:c r="J2" s="466"/>
      <x:c r="K2" s="466"/>
      <x:c r="L2" s="478" t="str">
        <x:v>NO</x:v>
      </x:c>
      <x:c r="M2" s="478" t="str">
        <x:v>현장</x:v>
      </x:c>
      <x:c r="N2" s="478" t="str">
        <x:v>주소</x:v>
      </x:c>
      <x:c r="O2" s="478" t="str">
        <x:v>거리(km)</x:v>
      </x:c>
      <x:c r="P2" s="478" t="str">
        <x:v>톨비</x:v>
      </x:c>
      <x:c r="Q2" s="478" t="str">
        <x:v>주유비</x:v>
      </x:c>
      <x:c r="R2" s="478" t="str">
        <x:v>기타</x:v>
      </x:c>
      <x:c r="S2" s="478" t="str">
        <x:v>Warranty End</x:v>
      </x:c>
      <x:c r="T2"/>
      <x:c r="U2"/>
    </x:row>
    <x:row r="3" ht="20" customHeight="1">
      <x:c r="A3" s="500" t="n">
        <x:v>1</x:v>
      </x:c>
      <x:c r="B3" s="483" t="str">
        <x:v>안성다이소</x:v>
      </x:c>
      <x:c r="C3" s="483" t="str">
        <x:v>경기도 안성시 대덕면 소동산길 3-29</x:v>
      </x:c>
      <x:c r="D3" s="518" t="n">
        <x:v>59</x:v>
      </x:c>
      <x:c r="E3" s="524"/>
      <x:c r="F3" s="524" t="n">
        <x:v>10461</x:v>
      </x:c>
      <x:c r="G3" s="483"/>
      <x:c r="H3" s="530"/>
      <x:c r="I3" s="466"/>
      <x:c r="J3" s="466"/>
      <x:c r="K3" s="466"/>
      <x:c r="L3" s="500" t="n">
        <x:v>1</x:v>
      </x:c>
      <x:c r="M3" s="483" t="str">
        <x:v>파주 (일산1)</x:v>
      </x:c>
      <x:c r="N3" s="483" t="str">
        <x:v>파주시 능안로231번길 87</x:v>
      </x:c>
      <x:c r="O3" s="518" t="n">
        <x:v>105</x:v>
      </x:c>
      <x:c r="P3" s="524" t="n">
        <x:v>7000</x:v>
      </x:c>
      <x:c r="Q3" s="524" t="n">
        <x:v>18560</x:v>
      </x:c>
      <x:c r="R3" s="483" t="str">
        <x:v>1층</x:v>
      </x:c>
      <x:c r="S3" s="530" t="n">
        <x:v>46651</x:v>
      </x:c>
      <x:c r="T3"/>
      <x:c r="U3"/>
    </x:row>
    <x:row r="4" ht="20" customHeight="1">
      <x:c r="A4" s="501" t="n">
        <x:v>2</x:v>
      </x:c>
      <x:c r="B4" s="486" t="str">
        <x:v>군포 아이스크림</x:v>
      </x:c>
      <x:c r="C4" s="486" t="str">
        <x:v>군포 복합화물터미널 I동</x:v>
      </x:c>
      <x:c r="D4" s="519" t="n">
        <x:v>61</x:v>
      </x:c>
      <x:c r="E4" s="525" t="n">
        <x:v>2000</x:v>
      </x:c>
      <x:c r="F4" s="525" t="n">
        <x:v>10840</x:v>
      </x:c>
      <x:c r="G4" s="486" t="str">
        <x:v>7층</x:v>
      </x:c>
      <x:c r="H4" s="531"/>
      <x:c r="I4" s="466"/>
      <x:c r="J4" s="466"/>
      <x:c r="K4" s="466"/>
      <x:c r="L4" s="501" t="n">
        <x:v>2</x:v>
      </x:c>
      <x:c r="M4" s="486" t="str">
        <x:v>일산 (일산5)</x:v>
      </x:c>
      <x:c r="N4" s="486" t="str">
        <x:v>고양시 덕양구 오금동 687번지 </x:v>
      </x:c>
      <x:c r="O4" s="519" t="n">
        <x:v>94</x:v>
      </x:c>
      <x:c r="P4" s="525" t="n">
        <x:v>6000</x:v>
      </x:c>
      <x:c r="Q4" s="525" t="n">
        <x:v>16651</x:v>
      </x:c>
      <x:c r="R4" s="486" t="str">
        <x:v>3층</x:v>
      </x:c>
      <x:c r="S4" s="531" t="n">
        <x:v>46421</x:v>
      </x:c>
      <x:c r="T4"/>
      <x:c r="U4"/>
    </x:row>
    <x:row r="5" ht="20" customHeight="1">
      <x:c r="A5" s="501" t="n">
        <x:v>3</x:v>
      </x:c>
      <x:c r="B5" s="486" t="str">
        <x:v>포천우리도가</x:v>
      </x:c>
      <x:c r="C5" s="486" t="str">
        <x:v>경기 포천시 군내면 용두로 13-34</x:v>
      </x:c>
      <x:c r="D5" s="519" t="n">
        <x:v>91</x:v>
      </x:c>
      <x:c r="E5" s="525" t="n">
        <x:v>6900</x:v>
      </x:c>
      <x:c r="F5" s="525" t="n">
        <x:v>16136</x:v>
      </x:c>
      <x:c r="G5" s="486"/>
      <x:c r="H5" s="531"/>
      <x:c r="I5" s="466"/>
      <x:c r="J5" s="466"/>
      <x:c r="K5" s="466"/>
      <x:c r="L5" s="501" t="n">
        <x:v>3</x:v>
      </x:c>
      <x:c r="M5" s="486" t="str">
        <x:v>일산 (일산3)</x:v>
      </x:c>
      <x:c r="N5" s="486" t="str">
        <x:v>경기 고양시 덕양구 권율대로 570</x:v>
      </x:c>
      <x:c r="O5" s="519" t="n">
        <x:v>92</x:v>
      </x:c>
      <x:c r="P5" s="525" t="n">
        <x:v>5500</x:v>
      </x:c>
      <x:c r="Q5" s="525" t="n">
        <x:v>15883</x:v>
      </x:c>
      <x:c r="R5" s="486"/>
      <x:c r="S5" s="531"/>
      <x:c r="T5"/>
      <x:c r="U5"/>
    </x:row>
    <x:row r="6" ht="20" customHeight="1">
      <x:c r="A6" s="501" t="n">
        <x:v>4</x:v>
      </x:c>
      <x:c r="B6" s="486" t="str">
        <x:v>태은물류 이천센터</x:v>
      </x:c>
      <x:c r="C6" s="486" t="str">
        <x:v>이천시 호법면 이섭대천로 309번길 56-22</x:v>
      </x:c>
      <x:c r="D6" s="519" t="n">
        <x:v>19</x:v>
      </x:c>
      <x:c r="E6" s="525"/>
      <x:c r="F6" s="525" t="n">
        <x:v>3477</x:v>
      </x:c>
      <x:c r="G6" s="486"/>
      <x:c r="H6" s="531"/>
      <x:c r="I6" s="466"/>
      <x:c r="J6" s="466"/>
      <x:c r="K6" s="466"/>
      <x:c r="L6" s="501" t="n">
        <x:v>4</x:v>
      </x:c>
      <x:c r="M6" s="486" t="str">
        <x:v>김포</x:v>
      </x:c>
      <x:c r="N6" s="486" t="str">
        <x:v>김포 양촌읍 대포산단로 73 </x:v>
      </x:c>
      <x:c r="O6" s="519" t="n">
        <x:v>105</x:v>
      </x:c>
      <x:c r="P6" s="525" t="n">
        <x:v>4900</x:v>
      </x:c>
      <x:c r="Q6" s="525" t="n">
        <x:v>18085</x:v>
      </x:c>
      <x:c r="R6" s="486" t="str">
        <x:v>5층</x:v>
      </x:c>
      <x:c r="S6" s="531" t="n">
        <x:v>46421</x:v>
      </x:c>
      <x:c r="T6"/>
      <x:c r="U6"/>
    </x:row>
    <x:row r="7" ht="20" customHeight="1">
      <x:c r="A7" s="501" t="n">
        <x:v>5</x:v>
      </x:c>
      <x:c r="B7" s="486" t="str">
        <x:v>이천 에스터포뮬러</x:v>
      </x:c>
      <x:c r="C7" s="486" t="str">
        <x:v>이천시 대월면 양녕로 92 </x:v>
      </x:c>
      <x:c r="D7" s="519" t="n">
        <x:v>25</x:v>
      </x:c>
      <x:c r="E7" s="525"/>
      <x:c r="F7" s="525" t="n">
        <x:v>4453</x:v>
      </x:c>
      <x:c r="G7" s="486" t="str">
        <x:v>3층</x:v>
      </x:c>
      <x:c r="H7" s="531"/>
      <x:c r="I7" s="466"/>
      <x:c r="J7" s="466"/>
      <x:c r="K7" s="466"/>
      <x:c r="L7" s="501" t="n">
        <x:v>5</x:v>
      </x:c>
      <x:c r="M7" s="486" t="str">
        <x:v>동인천</x:v>
      </x:c>
      <x:c r="N7" s="486" t="str">
        <x:v>인천광역시 서구 당하동 457-1번지 검단로지스틱스파크 5층</x:v>
      </x:c>
      <x:c r="O7" s="519" t="n">
        <x:v>90</x:v>
      </x:c>
      <x:c r="P7" s="525" t="n">
        <x:v>2800</x:v>
      </x:c>
      <x:c r="Q7" s="525" t="n">
        <x:v>15881</x:v>
      </x:c>
      <x:c r="R7" s="486"/>
      <x:c r="S7" s="531"/>
      <x:c r="T7"/>
      <x:c r="U7"/>
    </x:row>
    <x:row r="8" ht="20" customHeight="1">
      <x:c r="A8" s="501" t="n">
        <x:v>6</x:v>
      </x:c>
      <x:c r="B8" s="486" t="str">
        <x:v>팀프레시</x:v>
      </x:c>
      <x:c r="C8" s="486" t="str">
        <x:v>처인구 백암면 백봉리 1382-11</x:v>
      </x:c>
      <x:c r="D8" s="519" t="n">
        <x:v>31</x:v>
      </x:c>
      <x:c r="E8" s="525"/>
      <x:c r="F8" s="525" t="n">
        <x:v>5395</x:v>
      </x:c>
      <x:c r="G8" s="486"/>
      <x:c r="H8" s="531"/>
      <x:c r="I8" s="466"/>
      <x:c r="J8" s="466"/>
      <x:c r="K8" s="466"/>
      <x:c r="L8" s="501" t="n">
        <x:v>6</x:v>
      </x:c>
      <x:c r="M8" s="486" t="str">
        <x:v>인천 2</x:v>
      </x:c>
      <x:c r="N8" s="486" t="str">
        <x:v>남동구 고잔동 655-5 </x:v>
      </x:c>
      <x:c r="O8" s="519" t="n">
        <x:v>82</x:v>
      </x:c>
      <x:c r="P8" s="525" t="n">
        <x:v>4500</x:v>
      </x:c>
      <x:c r="Q8" s="525" t="n">
        <x:v>14424</x:v>
      </x:c>
      <x:c r="R8" s="486" t="str">
        <x:v>6층</x:v>
      </x:c>
      <x:c r="S8" s="531" t="n">
        <x:v>46423</x:v>
      </x:c>
      <x:c r="T8"/>
      <x:c r="U8"/>
    </x:row>
    <x:row r="9" ht="20" customHeight="1">
      <x:c r="A9" s="501" t="n">
        <x:v>7</x:v>
      </x:c>
      <x:c r="B9" s="486" t="str">
        <x:v>올리브영(경산)</x:v>
      </x:c>
      <x:c r="C9" s="486" t="str">
        <x:v>경북 경산시 진량읍 문천리 867</x:v>
      </x:c>
      <x:c r="D9" s="519" t="n">
        <x:v>252</x:v>
      </x:c>
      <x:c r="E9" s="525" t="n">
        <x:v>11700</x:v>
      </x:c>
      <x:c r="F9" s="525" t="n">
        <x:v>44527</x:v>
      </x:c>
      <x:c r="G9" s="486"/>
      <x:c r="H9" s="531"/>
      <x:c r="I9" s="466"/>
      <x:c r="J9" s="466"/>
      <x:c r="K9" s="466"/>
      <x:c r="L9" s="501" t="n">
        <x:v>7</x:v>
      </x:c>
      <x:c r="M9" s="486" t="str">
        <x:v>서초</x:v>
      </x:c>
      <x:c r="N9" s="486" t="str">
        <x:v>서울 서초구 양재동 222</x:v>
      </x:c>
      <x:c r="O9" s="519" t="n">
        <x:v>49</x:v>
      </x:c>
      <x:c r="P9" s="525"/>
      <x:c r="Q9" s="525" t="n">
        <x:v>8607</x:v>
      </x:c>
      <x:c r="R9" s="486" t="str">
        <x:v>1층</x:v>
      </x:c>
      <x:c r="S9" s="531" t="n">
        <x:v>46421</x:v>
      </x:c>
      <x:c r="T9"/>
      <x:c r="U9"/>
    </x:row>
    <x:row r="10" ht="20" customHeight="1">
      <x:c r="A10" s="501" t="n">
        <x:v>8</x:v>
      </x:c>
      <x:c r="B10" s="486" t="str">
        <x:v>대구BGF</x:v>
      </x:c>
      <x:c r="C10" s="486" t="str">
        <x:v>경북 칠곡군 석적읍 호국로 608 1층</x:v>
      </x:c>
      <x:c r="D10" s="519" t="n">
        <x:v>203</x:v>
      </x:c>
      <x:c r="E10" s="525" t="n">
        <x:v>8800</x:v>
      </x:c>
      <x:c r="F10" s="525" t="n">
        <x:v>35868</x:v>
      </x:c>
      <x:c r="G10" s="486"/>
      <x:c r="H10" s="531"/>
      <x:c r="I10" s="466"/>
      <x:c r="J10" s="466"/>
      <x:c r="K10" s="466"/>
      <x:c r="L10" s="501" t="n">
        <x:v>8</x:v>
      </x:c>
      <x:c r="M10" s="486" t="str">
        <x:v>송파3</x:v>
      </x:c>
      <x:c r="N10" s="486" t="str">
        <x:v>서울 송파구 송파대로 55 D동 5층</x:v>
      </x:c>
      <x:c r="O10" s="519" t="n">
        <x:v>44</x:v>
      </x:c>
      <x:c r="P10" s="525" t="n">
        <x:v>1000</x:v>
      </x:c>
      <x:c r="Q10" s="525" t="n">
        <x:v>7854</x:v>
      </x:c>
      <x:c r="R10" s="486" t="str">
        <x:v>5층</x:v>
      </x:c>
      <x:c r="S10" s="531" t="n">
        <x:v>46393</x:v>
      </x:c>
      <x:c r="T10"/>
      <x:c r="U10"/>
    </x:row>
    <x:row r="11" ht="20" customHeight="1">
      <x:c r="A11" s="501" t="n">
        <x:v>9</x:v>
      </x:c>
      <x:c r="B11" s="486" t="str">
        <x:v>더캐리</x:v>
      </x:c>
      <x:c r="C11" s="486" t="str">
        <x:v>파주시 광탄면 부흥로235번길 146</x:v>
      </x:c>
      <x:c r="D11" s="519" t="n">
        <x:v>116</x:v>
      </x:c>
      <x:c r="E11" s="525"/>
      <x:c r="F11" s="525" t="n">
        <x:v>20397</x:v>
      </x:c>
      <x:c r="G11" s="486" t="str">
        <x:v>젤위에 공장 </x:v>
      </x:c>
      <x:c r="H11" s="531"/>
      <x:c r="I11" s="466"/>
      <x:c r="J11" s="466"/>
      <x:c r="K11" s="466"/>
      <x:c r="L11" s="501" t="n">
        <x:v>9</x:v>
      </x:c>
      <x:c r="M11" s="486" t="str">
        <x:v>송파1</x:v>
      </x:c>
      <x:c r="N11" s="486" t="str">
        <x:v>서울 송파구 송파대로 55 B동 지하1층</x:v>
      </x:c>
      <x:c r="O11" s="519" t="n">
        <x:v>44</x:v>
      </x:c>
      <x:c r="P11" s="525" t="n">
        <x:v>1000</x:v>
      </x:c>
      <x:c r="Q11" s="525" t="n">
        <x:v>7854</x:v>
      </x:c>
      <x:c r="R11" s="486" t="str">
        <x:v>지하1층</x:v>
      </x:c>
      <x:c r="S11" s="531"/>
      <x:c r="T11"/>
      <x:c r="U11"/>
    </x:row>
    <x:row r="12" ht="20" customHeight="1">
      <x:c r="A12" s="501" t="n">
        <x:v>10</x:v>
      </x:c>
      <x:c r="B12" s="486" t="str">
        <x:v>환인제약</x:v>
      </x:c>
      <x:c r="C12" s="486" t="str">
        <x:v>환인제약 안성공장</x:v>
      </x:c>
      <x:c r="D12" s="519" t="n">
        <x:v>60</x:v>
      </x:c>
      <x:c r="E12" s="525" t="n">
        <x:v>1900</x:v>
      </x:c>
      <x:c r="F12" s="525" t="n">
        <x:v>10594</x:v>
      </x:c>
      <x:c r="G12" s="486" t="str">
        <x:v>정문 실내화</x:v>
      </x:c>
      <x:c r="H12" s="531"/>
      <x:c r="I12" s="466"/>
      <x:c r="J12" s="466"/>
      <x:c r="K12" s="466"/>
      <x:c r="L12" s="501" t="n">
        <x:v>10</x:v>
      </x:c>
      <x:c r="M12" s="486" t="str">
        <x:v>남양주</x:v>
      </x:c>
      <x:c r="N12" s="486" t="str">
        <x:v>경기도 남양주시 화도읍 차산리 434-6 </x:v>
      </x:c>
      <x:c r="O12" s="519" t="n">
        <x:v>48</x:v>
      </x:c>
      <x:c r="P12" s="525" t="n">
        <x:v>2300</x:v>
      </x:c>
      <x:c r="Q12" s="525" t="n">
        <x:v>8508</x:v>
      </x:c>
      <x:c r="R12" s="486" t="str">
        <x:v>4층</x:v>
      </x:c>
      <x:c r="S12" s="531"/>
      <x:c r="T12"/>
      <x:c r="U12"/>
    </x:row>
    <x:row r="13" ht="20" customHeight="1">
      <x:c r="A13" s="501" t="n">
        <x:v>11</x:v>
      </x:c>
      <x:c r="B13" s="486" t="str">
        <x:v>덕평롯데택배</x:v>
      </x:c>
      <x:c r="C13" s="486" t="str">
        <x:v>덕평로 831-59</x:v>
      </x:c>
      <x:c r="D13" s="519" t="n">
        <x:v>20</x:v>
      </x:c>
      <x:c r="E13" s="525"/>
      <x:c r="F13" s="525" t="n">
        <x:v>3705</x:v>
      </x:c>
      <x:c r="G13" s="486"/>
      <x:c r="H13" s="531"/>
      <x:c r="I13" s="466"/>
      <x:c r="J13" s="466"/>
      <x:c r="K13" s="466"/>
      <x:c r="L13" s="501" t="n">
        <x:v>11</x:v>
      </x:c>
      <x:c r="M13" s="486" t="str">
        <x:v>야탑 1</x:v>
      </x:c>
      <x:c r="N13" s="486" t="str">
        <x:v>분당구 야탑동 403 </x:v>
      </x:c>
      <x:c r="O13" s="519" t="n">
        <x:v>39</x:v>
      </x:c>
      <x:c r="P13" s="525" t="str">
        <x:v> </x:v>
      </x:c>
      <x:c r="Q13" s="525" t="n">
        <x:v>6824</x:v>
      </x:c>
      <x:c r="R13" s="486" t="str">
        <x:v>3층</x:v>
      </x:c>
      <x:c r="S13" s="531" t="n">
        <x:v>46584</x:v>
      </x:c>
      <x:c r="T13"/>
      <x:c r="U13"/>
    </x:row>
    <x:row r="14" ht="20" customHeight="1">
      <x:c r="A14" s="501" t="n">
        <x:v>12</x:v>
      </x:c>
      <x:c r="B14" s="486" t="str">
        <x:v>APR</x:v>
      </x:c>
      <x:c r="C14" s="486" t="str">
        <x:v>큐브인더스트리얼 평택석정센터</x:v>
      </x:c>
      <x:c r="D14" s="519" t="n">
        <x:v>104</x:v>
      </x:c>
      <x:c r="E14" s="525" t="n">
        <x:v>2000</x:v>
      </x:c>
      <x:c r="F14" s="525" t="n">
        <x:v>18268</x:v>
      </x:c>
      <x:c r="G14" s="486" t="str">
        <x:v>티맵</x:v>
      </x:c>
      <x:c r="H14" s="531"/>
      <x:c r="I14" s="466"/>
      <x:c r="J14" s="466"/>
      <x:c r="K14" s="466"/>
      <x:c r="L14" s="501" t="n">
        <x:v>12</x:v>
      </x:c>
      <x:c r="M14" s="486" t="str">
        <x:v>야탑 2</x:v>
      </x:c>
      <x:c r="N14" s="486"/>
      <x:c r="O14" s="519"/>
      <x:c r="P14" s="525"/>
      <x:c r="Q14" s="525"/>
      <x:c r="R14" s="486" t="str">
        <x:v>3M</x:v>
      </x:c>
      <x:c r="S14" s="531" t="n">
        <x:v>46585</x:v>
      </x:c>
      <x:c r="T14"/>
      <x:c r="U14"/>
    </x:row>
    <x:row r="15" ht="20" customHeight="1">
      <x:c r="A15" s="501" t="n">
        <x:v>13</x:v>
      </x:c>
      <x:c r="B15" s="486" t="str">
        <x:v>APR 이전센터</x:v>
      </x:c>
      <x:c r="C15" s="486" t="str">
        <x:v>평택시 포승읍 석정로 315 </x:v>
      </x:c>
      <x:c r="D15" s="519"/>
      <x:c r="E15" s="525"/>
      <x:c r="F15" s="525"/>
      <x:c r="G15" s="486" t="str">
        <x:v>3층</x:v>
      </x:c>
      <x:c r="H15" s="531"/>
      <x:c r="I15" s="466"/>
      <x:c r="J15" s="466"/>
      <x:c r="K15" s="466"/>
      <x:c r="L15" s="501" t="n">
        <x:v>13</x:v>
      </x:c>
      <x:c r="M15" s="486" t="str">
        <x:v>군포</x:v>
      </x:c>
      <x:c r="N15" s="486" t="str">
        <x:v>안산시 상록구 사사동 119-18</x:v>
      </x:c>
      <x:c r="O15" s="519" t="n">
        <x:v>65</x:v>
      </x:c>
      <x:c r="P15" s="525" t="n">
        <x:v>2000</x:v>
      </x:c>
      <x:c r="Q15" s="525" t="n">
        <x:v>11453</x:v>
      </x:c>
      <x:c r="R15" s="486" t="str">
        <x:v>2층</x:v>
      </x:c>
      <x:c r="S15" s="531"/>
      <x:c r="T15"/>
      <x:c r="U15"/>
    </x:row>
    <x:row r="16" ht="20" customHeight="1">
      <x:c r="A16" s="501" t="n">
        <x:v>14</x:v>
      </x:c>
      <x:c r="B16" s="486" t="str">
        <x:v>평택 로지스월</x:v>
      </x:c>
      <x:c r="C16" s="486" t="str">
        <x:v>평택시 포승읍 황해희곡2로 51</x:v>
      </x:c>
      <x:c r="D16" s="519" t="n">
        <x:v>105</x:v>
      </x:c>
      <x:c r="E16" s="525" t="n">
        <x:v>9400</x:v>
      </x:c>
      <x:c r="F16" s="525" t="n">
        <x:v>19707</x:v>
      </x:c>
      <x:c r="G16" s="486" t="str">
        <x:v>2층</x:v>
      </x:c>
      <x:c r="H16" s="531"/>
      <x:c r="I16" s="466"/>
      <x:c r="J16" s="466"/>
      <x:c r="K16" s="466"/>
      <x:c r="L16" s="501" t="n">
        <x:v>14</x:v>
      </x:c>
      <x:c r="M16" s="486" t="str">
        <x:v>화성1</x:v>
      </x:c>
      <x:c r="N16" s="486" t="str">
        <x:v>제기리복합물류센터</x:v>
      </x:c>
      <x:c r="O16" s="519" t="n">
        <x:v>74</x:v>
      </x:c>
      <x:c r="P16" s="525" t="n">
        <x:v>4500</x:v>
      </x:c>
      <x:c r="Q16" s="525" t="n">
        <x:v>11952</x:v>
      </x:c>
      <x:c r="R16" s="486"/>
      <x:c r="S16" s="531"/>
      <x:c r="T16"/>
      <x:c r="U16"/>
    </x:row>
    <x:row r="17" ht="20" customHeight="1">
      <x:c r="A17" s="501" t="n">
        <x:v>15</x:v>
      </x:c>
      <x:c r="B17" s="486" t="str">
        <x:v>덕평 DHL</x:v>
      </x:c>
      <x:c r="C17" s="486" t="str">
        <x:v>이천시 마장면 프리미엄아울렛로 33-48</x:v>
      </x:c>
      <x:c r="D17" s="519" t="n">
        <x:v>16</x:v>
      </x:c>
      <x:c r="E17" s="525"/>
      <x:c r="F17" s="525" t="n">
        <x:v>2901</x:v>
      </x:c>
      <x:c r="G17" s="486" t="str">
        <x:v>1층</x:v>
      </x:c>
      <x:c r="H17" s="531"/>
      <x:c r="I17" s="466"/>
      <x:c r="J17" s="466"/>
      <x:c r="K17" s="466"/>
      <x:c r="L17" s="501" t="n">
        <x:v>15</x:v>
      </x:c>
      <x:c r="M17" s="486" t="str">
        <x:v>화성 2</x:v>
      </x:c>
      <x:c r="N17" s="486" t="str">
        <x:v>경기도 화성시 안녕동 146-38번지</x:v>
      </x:c>
      <x:c r="O17" s="519" t="n">
        <x:v>69</x:v>
      </x:c>
      <x:c r="P17" s="525" t="n">
        <x:v>6200</x:v>
      </x:c>
      <x:c r="Q17" s="525" t="n">
        <x:v>11937</x:v>
      </x:c>
      <x:c r="R17" s="486"/>
      <x:c r="S17" s="531"/>
      <x:c r="T17"/>
      <x:c r="U17"/>
    </x:row>
    <x:row r="18" ht="20" customHeight="1">
      <x:c r="A18" s="501" t="n">
        <x:v>16</x:v>
      </x:c>
      <x:c r="B18" s="486" t="str">
        <x:v>한국캘러웨이골프 용인 DAS</x:v>
      </x:c>
      <x:c r="C18" s="486" t="str">
        <x:v>용인시 처인구 원삼면 원양로 129-12 지산물류 </x:v>
      </x:c>
      <x:c r="D18" s="519" t="n">
        <x:v>35</x:v>
      </x:c>
      <x:c r="E18" s="525"/>
      <x:c r="F18" s="525" t="n">
        <x:v>6214</x:v>
      </x:c>
      <x:c r="G18" s="486"/>
      <x:c r="H18" s="531"/>
      <x:c r="I18" s="466"/>
      <x:c r="J18" s="466"/>
      <x:c r="K18" s="466"/>
      <x:c r="L18" s="501" t="n">
        <x:v>16</x:v>
      </x:c>
      <x:c r="M18" s="486" t="str">
        <x:v>군포1</x:v>
      </x:c>
      <x:c r="N18" s="486" t="str">
        <x:v>안산시 상록구 사사동 119-18 2층</x:v>
      </x:c>
      <x:c r="O18" s="519" t="n">
        <x:v>65</x:v>
      </x:c>
      <x:c r="P18" s="525" t="n">
        <x:v>2000</x:v>
      </x:c>
      <x:c r="Q18" s="525" t="n">
        <x:v>11453</x:v>
      </x:c>
      <x:c r="R18" s="486" t="str">
        <x:v>2층</x:v>
      </x:c>
      <x:c r="S18" s="531"/>
      <x:c r="T18"/>
      <x:c r="U18"/>
    </x:row>
    <x:row r="19" ht="20" customHeight="1">
      <x:c r="A19" s="501" t="n">
        <x:v>17</x:v>
      </x:c>
      <x:c r="B19" s="486" t="str">
        <x:v>LX판토스 더파운더즈 이천센터</x:v>
      </x:c>
      <x:c r="C19" s="486" t="str">
        <x:v>경기 이천시 부발읍 고백리 327-2</x:v>
      </x:c>
      <x:c r="D19" s="519" t="n">
        <x:v>10</x:v>
      </x:c>
      <x:c r="E19" s="525"/>
      <x:c r="F19" s="525" t="n">
        <x:v>1728</x:v>
      </x:c>
      <x:c r="G19" s="486" t="str">
        <x:v>2층</x:v>
      </x:c>
      <x:c r="H19" s="531"/>
      <x:c r="I19" s="466"/>
      <x:c r="J19" s="466"/>
      <x:c r="K19" s="466"/>
      <x:c r="L19" s="501" t="n">
        <x:v>17</x:v>
      </x:c>
      <x:c r="M19" s="486" t="str">
        <x:v>안산</x:v>
      </x:c>
      <x:c r="N19" s="486" t="str">
        <x:v>경기도 시흥시 만해로 43</x:v>
      </x:c>
      <x:c r="O19" s="519" t="n">
        <x:v>78</x:v>
      </x:c>
      <x:c r="P19" s="525" t="n">
        <x:v>2300</x:v>
      </x:c>
      <x:c r="Q19" s="525" t="n">
        <x:v>12927</x:v>
      </x:c>
      <x:c r="R19" s="486" t="str">
        <x:v>8층</x:v>
      </x:c>
      <x:c r="S19" s="531"/>
      <x:c r="T19"/>
      <x:c r="U19"/>
    </x:row>
    <x:row r="20" ht="20" customHeight="1">
      <x:c r="A20" s="501" t="n">
        <x:v>18</x:v>
      </x:c>
      <x:c r="B20" s="486" t="str">
        <x:v>에르메스</x:v>
      </x:c>
      <x:c r="C20" s="486" t="str">
        <x:v>인천 서구 북항단지로 151 </x:v>
      </x:c>
      <x:c r="D20" s="519" t="n">
        <x:v>97</x:v>
      </x:c>
      <x:c r="E20" s="525" t="n">
        <x:v>4000</x:v>
      </x:c>
      <x:c r="F20" s="525" t="n">
        <x:v>17137</x:v>
      </x:c>
      <x:c r="G20" s="486" t="str">
        <x:v>3층</x:v>
      </x:c>
      <x:c r="H20" s="531"/>
      <x:c r="I20" s="466"/>
      <x:c r="J20" s="466"/>
      <x:c r="K20" s="466"/>
      <x:c r="L20" s="501" t="n">
        <x:v>18</x:v>
      </x:c>
      <x:c r="M20" s="486" t="str">
        <x:v>청주</x:v>
      </x:c>
      <x:c r="N20" s="486" t="str">
        <x:v>진천군 초평면 은암리 406-8 </x:v>
      </x:c>
      <x:c r="O20" s="519" t="n">
        <x:v>79</x:v>
      </x:c>
      <x:c r="P20" s="525" t="n">
        <x:v>3000</x:v>
      </x:c>
      <x:c r="Q20" s="525" t="n">
        <x:v>13963</x:v>
      </x:c>
      <x:c r="R20" s="486" t="str">
        <x:v>1층</x:v>
      </x:c>
      <x:c r="S20" s="531" t="n">
        <x:v>46556</x:v>
      </x:c>
      <x:c r="T20"/>
      <x:c r="U20"/>
    </x:row>
    <x:row r="21" ht="20" customHeight="1">
      <x:c r="A21" s="501" t="n">
        <x:v>19</x:v>
      </x:c>
      <x:c r="B21" s="486" t="str">
        <x:v>하고하우스</x:v>
      </x:c>
      <x:c r="C21" s="486" t="str">
        <x:v>이천시 호법면 중부대로 797-37</x:v>
      </x:c>
      <x:c r="D21" s="519" t="n">
        <x:v>16</x:v>
      </x:c>
      <x:c r="E21" s="525"/>
      <x:c r="F21" s="525" t="n">
        <x:v>2847</x:v>
      </x:c>
      <x:c r="G21" s="486" t="str">
        <x:v>2층</x:v>
      </x:c>
      <x:c r="H21" s="531"/>
      <x:c r="I21" s="466"/>
      <x:c r="J21" s="466"/>
      <x:c r="K21" s="466"/>
      <x:c r="L21" s="501" t="n">
        <x:v>19</x:v>
      </x:c>
      <x:c r="M21" s="486" t="str">
        <x:v>대전</x:v>
      </x:c>
      <x:c r="N21" s="486" t="str">
        <x:v>세종시 부강면 문곡리 135-1 </x:v>
      </x:c>
      <x:c r="O21" s="519" t="n">
        <x:v>107</x:v>
      </x:c>
      <x:c r="P21" s="525" t="n">
        <x:v>4900</x:v>
      </x:c>
      <x:c r="Q21" s="525" t="n">
        <x:v>18808</x:v>
      </x:c>
      <x:c r="R21" s="486" t="str">
        <x:v>1층</x:v>
      </x:c>
      <x:c r="S21" s="531" t="n">
        <x:v>46394</x:v>
      </x:c>
      <x:c r="T21"/>
      <x:c r="U21"/>
    </x:row>
    <x:row r="22" ht="20" customHeight="1">
      <x:c r="A22" s="501" t="n">
        <x:v>20</x:v>
      </x:c>
      <x:c r="B22" s="486" t="str">
        <x:v>대화물류</x:v>
      </x:c>
      <x:c r="C22" s="486" t="str">
        <x:v>이천시 마장면 관리 663-2</x:v>
      </x:c>
      <x:c r="D22" s="519" t="n">
        <x:v>21</x:v>
      </x:c>
      <x:c r="E22" s="525"/>
      <x:c r="F22" s="525" t="n">
        <x:v>3755</x:v>
      </x:c>
      <x:c r="G22" s="486" t="str">
        <x:v>1층</x:v>
      </x:c>
      <x:c r="H22" s="531"/>
      <x:c r="I22" s="466"/>
      <x:c r="J22" s="466"/>
      <x:c r="K22" s="466"/>
      <x:c r="L22" s="501" t="n">
        <x:v>20</x:v>
      </x:c>
      <x:c r="M22" s="486" t="str">
        <x:v>남대전쿠팡(스파이럴)</x:v>
      </x:c>
      <x:c r="N22" s="486" t="str">
        <x:v>대전 동구 안골로 33</x:v>
      </x:c>
      <x:c r="O22" s="519" t="n">
        <x:v>141</x:v>
      </x:c>
      <x:c r="P22" s="525" t="n">
        <x:v>6700</x:v>
      </x:c>
      <x:c r="Q22" s="525" t="n">
        <x:v>24790</x:v>
      </x:c>
      <x:c r="R22" s="486" t="str">
        <x:v>5층</x:v>
      </x:c>
      <x:c r="S22" s="531" t="n">
        <x:v>46674</x:v>
      </x:c>
      <x:c r="T22"/>
      <x:c r="U22"/>
    </x:row>
    <x:row r="23" ht="20" customHeight="1">
      <x:c r="A23" s="501" t="n">
        <x:v>21</x:v>
      </x:c>
      <x:c r="B23" s="486" t="str">
        <x:v>군산 허스델리</x:v>
      </x:c>
      <x:c r="C23" s="486" t="str">
        <x:v>전라북도 군산시 나포면 외곤1길 32</x:v>
      </x:c>
      <x:c r="D23" s="519" t="n">
        <x:v>203</x:v>
      </x:c>
      <x:c r="E23" s="525" t="n">
        <x:v>7900</x:v>
      </x:c>
      <x:c r="F23" s="525" t="n">
        <x:v>35902</x:v>
      </x:c>
      <x:c r="G23" s="486"/>
      <x:c r="H23" s="531"/>
      <x:c r="I23" s="466"/>
      <x:c r="J23" s="466"/>
      <x:c r="K23" s="466"/>
      <x:c r="L23" s="501" t="n">
        <x:v>21</x:v>
      </x:c>
      <x:c r="M23" s="486" t="str">
        <x:v>대구</x:v>
      </x:c>
      <x:c r="N23" s="486" t="str">
        <x:v>대구광역시 수성구 대흥동 869</x:v>
      </x:c>
      <x:c r="O23" s="519" t="n">
        <x:v>245</x:v>
      </x:c>
      <x:c r="P23" s="525" t="n">
        <x:v>12000</x:v>
      </x:c>
      <x:c r="Q23" s="525" t="n">
        <x:v>43140</x:v>
      </x:c>
      <x:c r="R23" s="486"/>
      <x:c r="S23" s="531"/>
      <x:c r="T23"/>
      <x:c r="U23"/>
    </x:row>
    <x:row r="24" ht="20" customHeight="1">
      <x:c r="A24" s="501" t="n">
        <x:v>22</x:v>
      </x:c>
      <x:c r="B24" s="486" t="str">
        <x:v>여주 바바패션(비앤비물류센터)</x:v>
      </x:c>
      <x:c r="C24" s="486" t="str">
        <x:v>경기 여주시 점동면 원부리 204-6</x:v>
      </x:c>
      <x:c r="D24" s="519" t="n">
        <x:v>36</x:v>
      </x:c>
      <x:c r="E24" s="525"/>
      <x:c r="F24" s="525" t="n">
        <x:v>6369</x:v>
      </x:c>
      <x:c r="G24" s="486"/>
      <x:c r="H24" s="531"/>
      <x:c r="I24" s="466"/>
      <x:c r="J24" s="466"/>
      <x:c r="K24" s="466"/>
      <x:c r="L24" s="501" t="n">
        <x:v>22</x:v>
      </x:c>
      <x:c r="M24" s="486" t="str">
        <x:v>서대구</x:v>
      </x:c>
      <x:c r="N24" s="486" t="str">
        <x:v>경상북도 칠곡군 왜관읍 낙산리 산7-10</x:v>
      </x:c>
      <x:c r="O24" s="519" t="n">
        <x:v>215</x:v>
      </x:c>
      <x:c r="P24" s="525" t="n">
        <x:v>9700</x:v>
      </x:c>
      <x:c r="Q24" s="525" t="n">
        <x:v>38013</x:v>
      </x:c>
      <x:c r="R24" s="486" t="str">
        <x:v>2층</x:v>
      </x:c>
      <x:c r="S24" s="531" t="n">
        <x:v>46421</x:v>
      </x:c>
      <x:c r="T24"/>
      <x:c r="U24"/>
    </x:row>
    <x:row r="25" ht="20" customHeight="1">
      <x:c r="A25" s="501" t="n">
        <x:v>23</x:v>
      </x:c>
      <x:c r="B25" s="486" t="str">
        <x:v>제이스타일</x:v>
      </x:c>
      <x:c r="C25" s="486" t="str">
        <x:v>안성종합버스터미널 3층</x:v>
      </x:c>
      <x:c r="D25" s="519" t="n">
        <x:v>54</x:v>
      </x:c>
      <x:c r="E25" s="525" t="n">
        <x:v>1900</x:v>
      </x:c>
      <x:c r="F25" s="525" t="n">
        <x:v>9587</x:v>
      </x:c>
      <x:c r="G25" s="486"/>
      <x:c r="H25" s="531"/>
      <x:c r="I25" s="466"/>
      <x:c r="J25" s="466"/>
      <x:c r="K25" s="466"/>
      <x:c r="L25" s="501" t="n">
        <x:v>23</x:v>
      </x:c>
      <x:c r="M25" s="486" t="str">
        <x:v>북김해</x:v>
      </x:c>
      <x:c r="N25" s="486" t="str">
        <x:v>경남 김해시 안동 163-2 외 4필지 김해복합물류센터</x:v>
      </x:c>
      <x:c r="O25" s="519" t="n">
        <x:v>333</x:v>
      </x:c>
      <x:c r="P25" s="525" t="n">
        <x:v>16700</x:v>
      </x:c>
      <x:c r="Q25" s="525" t="n">
        <x:v>85487</x:v>
      </x:c>
      <x:c r="R25" s="486" t="str">
        <x:v>5층</x:v>
      </x:c>
      <x:c r="S25" s="531"/>
      <x:c r="T25"/>
      <x:c r="U25"/>
    </x:row>
    <x:row r="26" ht="20" customHeight="1">
      <x:c r="A26" s="501" t="n">
        <x:v>24</x:v>
      </x:c>
      <x:c r="B26" s="486" t="str">
        <x:v>폰드그룹</x:v>
      </x:c>
      <x:c r="C26" s="486" t="str">
        <x:v>전북 김제시 용지면 부교리 57-4(백자3길 37)</x:v>
      </x:c>
      <x:c r="D26" s="519" t="n">
        <x:v>208</x:v>
      </x:c>
      <x:c r="E26" s="525" t="n">
        <x:v>9700</x:v>
      </x:c>
      <x:c r="F26" s="525" t="n">
        <x:v>36765</x:v>
      </x:c>
      <x:c r="G26" s="486"/>
      <x:c r="H26" s="531"/>
      <x:c r="I26" s="466"/>
      <x:c r="J26" s="466"/>
      <x:c r="K26" s="466"/>
      <x:c r="L26" s="502" t="n">
        <x:v>24</x:v>
      </x:c>
      <x:c r="M26" s="489" t="str">
        <x:v>남김해</x:v>
      </x:c>
      <x:c r="N26" s="489"/>
      <x:c r="O26" s="520"/>
      <x:c r="P26" s="526"/>
      <x:c r="Q26" s="526"/>
      <x:c r="R26" s="489" t="str">
        <x:v>7층</x:v>
      </x:c>
      <x:c r="S26" s="532" t="n">
        <x:v>46610</x:v>
      </x:c>
      <x:c r="T26"/>
      <x:c r="U26"/>
    </x:row>
    <x:row r="27" ht="20" customHeight="1">
      <x:c r="A27" s="501" t="n">
        <x:v>25</x:v>
      </x:c>
      <x:c r="B27" s="486" t="str">
        <x:v>두라로지스</x:v>
      </x:c>
      <x:c r="C27" s="486" t="str">
        <x:v> 경기 김포시 고촌읍 전호리 739</x:v>
      </x:c>
      <x:c r="D27" s="519" t="n">
        <x:v>93</x:v>
      </x:c>
      <x:c r="E27" s="525" t="n">
        <x:v>3700</x:v>
      </x:c>
      <x:c r="F27" s="525" t="n">
        <x:v>16448</x:v>
      </x:c>
      <x:c r="G27" s="486"/>
      <x:c r="H27" s="531"/>
      <x:c r="I27" s="466"/>
      <x:c r="J27" s="466"/>
      <x:c r="K27" s="466"/>
      <x:c r="L27" s="466"/>
      <x:c r="M27" s="466"/>
      <x:c r="N27" s="466"/>
      <x:c r="O27" s="466"/>
      <x:c r="P27" s="466"/>
      <x:c r="Q27" s="466"/>
      <x:c r="R27" s="466"/>
      <x:c r="S27" s="466"/>
    </x:row>
    <x:row r="28" ht="20" customHeight="1">
      <x:c r="A28" s="501" t="n">
        <x:v>26</x:v>
      </x:c>
      <x:c r="B28" s="486" t="str">
        <x:v>인동 FN</x:v>
      </x:c>
      <x:c r="C28" s="486" t="str">
        <x:v>경기 이천시 마장면 프리미엄아울렛로 33-88</x:v>
      </x:c>
      <x:c r="D28" s="519" t="n">
        <x:v>16</x:v>
      </x:c>
      <x:c r="E28" s="525"/>
      <x:c r="F28" s="525" t="n">
        <x:v>2901</x:v>
      </x:c>
      <x:c r="G28" s="486"/>
      <x:c r="H28" s="531"/>
      <x:c r="I28" s="466"/>
      <x:c r="J28" s="466"/>
      <x:c r="K28" s="466"/>
      <x:c r="L28" s="466"/>
      <x:c r="M28" s="466"/>
      <x:c r="N28" s="466"/>
      <x:c r="O28" s="466"/>
      <x:c r="P28" s="466"/>
      <x:c r="Q28" s="466"/>
      <x:c r="R28" s="466"/>
      <x:c r="S28" s="466"/>
    </x:row>
    <x:row r="29" ht="20" customHeight="1">
      <x:c r="A29" s="501" t="n">
        <x:v>27</x:v>
      </x:c>
      <x:c r="B29" s="486" t="str">
        <x:v>삼송 프레쉬</x:v>
      </x:c>
      <x:c r="C29" s="486" t="str">
        <x:v>경기도 고양시 삼막2길 55  프레시로지 물류센터</x:v>
      </x:c>
      <x:c r="D29" s="519" t="n">
        <x:v>95</x:v>
      </x:c>
      <x:c r="E29" s="525" t="n">
        <x:v>6000</x:v>
      </x:c>
      <x:c r="F29" s="525" t="n">
        <x:v>16679</x:v>
      </x:c>
      <x:c r="G29" s="486" t="str">
        <x:v>지하 1층</x:v>
      </x:c>
      <x:c r="H29" s="531"/>
      <x:c r="I29" s="466"/>
      <x:c r="J29" s="466"/>
      <x:c r="K29" s="466"/>
      <x:c r="L29" s="466"/>
      <x:c r="M29" s="466"/>
      <x:c r="N29" s="466"/>
      <x:c r="O29" s="466"/>
      <x:c r="P29" s="466"/>
      <x:c r="Q29" s="466"/>
      <x:c r="R29" s="466"/>
      <x:c r="S29" s="466"/>
    </x:row>
    <x:row r="30" ht="20" customHeight="1">
      <x:c r="A30" s="501" t="n">
        <x:v>28</x:v>
      </x:c>
      <x:c r="B30" s="486" t="str">
        <x:v>팬스타</x:v>
      </x:c>
      <x:c r="C30" s="486" t="str">
        <x:v>경남 창원시 진해구 신항7로 56</x:v>
      </x:c>
      <x:c r="D30" s="519" t="n">
        <x:v>332</x:v>
      </x:c>
      <x:c r="E30" s="525" t="n">
        <x:v>16200</x:v>
      </x:c>
      <x:c r="F30" s="525" t="n">
        <x:v>58588</x:v>
      </x:c>
      <x:c r="G30" s="486" t="str">
        <x:v>1번 도크</x:v>
      </x:c>
      <x:c r="H30" s="531"/>
      <x:c r="I30" s="466"/>
      <x:c r="J30" s="466"/>
      <x:c r="K30" s="466"/>
      <x:c r="L30" s="466"/>
      <x:c r="M30" s="466"/>
      <x:c r="N30" s="466"/>
      <x:c r="O30" s="466"/>
      <x:c r="P30" s="466"/>
      <x:c r="Q30" s="466"/>
      <x:c r="R30" s="466"/>
      <x:c r="S30" s="466"/>
    </x:row>
    <x:row r="31" ht="20" customHeight="1">
      <x:c r="A31" s="501" t="n">
        <x:v>29</x:v>
      </x:c>
      <x:c r="B31" s="486" t="str">
        <x:v>BGF부산</x:v>
      </x:c>
      <x:c r="C31" s="486" t="str">
        <x:v>부산시 강서구 송정국제1로 69(구랑동1280-5)</x:v>
      </x:c>
      <x:c r="D31" s="519" t="n">
        <x:v>345</x:v>
      </x:c>
      <x:c r="E31" s="525" t="n">
        <x:v>16400</x:v>
      </x:c>
      <x:c r="F31" s="525" t="n">
        <x:v>60847</x:v>
      </x:c>
      <x:c r="G31" s="486"/>
      <x:c r="H31" s="531"/>
      <x:c r="I31" s="466"/>
      <x:c r="J31" s="466"/>
      <x:c r="K31" s="466"/>
      <x:c r="L31" s="466"/>
      <x:c r="M31" s="466"/>
      <x:c r="N31" s="466"/>
      <x:c r="O31" s="466"/>
      <x:c r="P31" s="466"/>
      <x:c r="Q31" s="466"/>
      <x:c r="R31" s="466"/>
      <x:c r="S31" s="466"/>
    </x:row>
    <x:row r="32" ht="20" customHeight="1">
      <x:c r="A32" s="501" t="n">
        <x:v>30</x:v>
      </x:c>
      <x:c r="B32" s="486" t="str">
        <x:v>블랙야크</x:v>
      </x:c>
      <x:c r="C32" s="486"/>
      <x:c r="D32" s="519"/>
      <x:c r="E32" s="525"/>
      <x:c r="F32" s="525"/>
      <x:c r="G32" s="486"/>
      <x:c r="H32" s="531"/>
      <x:c r="I32" s="466"/>
      <x:c r="J32" s="466"/>
      <x:c r="K32" s="466"/>
      <x:c r="L32" s="466"/>
      <x:c r="M32" s="466"/>
      <x:c r="N32" s="466"/>
      <x:c r="O32" s="466"/>
      <x:c r="P32" s="466"/>
      <x:c r="Q32" s="466"/>
      <x:c r="R32" s="466"/>
      <x:c r="S32" s="466"/>
    </x:row>
    <x:row r="33" ht="20" customHeight="1">
      <x:c r="A33" s="501" t="n">
        <x:v>31</x:v>
      </x:c>
      <x:c r="B33" s="486" t="str">
        <x:v>LG생활건강 - 1 </x:v>
      </x:c>
      <x:c r="C33" s="486" t="str">
        <x:v>삼성전자 세종물류센터</x:v>
      </x:c>
      <x:c r="D33" s="519" t="n">
        <x:v>110</x:v>
      </x:c>
      <x:c r="E33" s="525" t="n">
        <x:v>4900</x:v>
      </x:c>
      <x:c r="F33" s="525" t="n">
        <x:v>18402</x:v>
      </x:c>
      <x:c r="G33" s="486"/>
      <x:c r="H33" s="531"/>
      <x:c r="I33" s="466"/>
      <x:c r="J33" s="466"/>
      <x:c r="K33" s="466"/>
      <x:c r="L33" s="466"/>
      <x:c r="M33" s="466"/>
      <x:c r="N33" s="466"/>
      <x:c r="O33" s="466"/>
      <x:c r="P33" s="466"/>
      <x:c r="Q33" s="466"/>
      <x:c r="R33" s="466"/>
      <x:c r="S33" s="466"/>
    </x:row>
    <x:row r="34" ht="20" customHeight="1">
      <x:c r="A34" s="501" t="n">
        <x:v>32</x:v>
      </x:c>
      <x:c r="B34" s="486" t="str">
        <x:v>LG생활건강 - 2</x:v>
      </x:c>
      <x:c r="C34" s="486" t="str">
        <x:v>서원구 남이면 저산척북로 263</x:v>
      </x:c>
      <x:c r="D34" s="519" t="n">
        <x:v>106</x:v>
      </x:c>
      <x:c r="E34" s="525" t="n">
        <x:v>4300</x:v>
      </x:c>
      <x:c r="F34" s="525" t="n">
        <x:v>17598</x:v>
      </x:c>
      <x:c r="G34" s="486"/>
      <x:c r="H34" s="531"/>
      <x:c r="I34" s="466"/>
      <x:c r="J34" s="466"/>
      <x:c r="K34" s="466"/>
      <x:c r="L34" s="466"/>
      <x:c r="M34" s="466"/>
      <x:c r="N34" s="466"/>
      <x:c r="O34" s="466"/>
      <x:c r="P34" s="466"/>
      <x:c r="Q34" s="466"/>
      <x:c r="R34" s="466"/>
      <x:c r="S34" s="466"/>
    </x:row>
    <x:row r="35" ht="20" customHeight="1">
      <x:c r="A35" s="501" t="n">
        <x:v>33</x:v>
      </x:c>
      <x:c r="B35" s="486" t="str">
        <x:v>SG세계물산</x:v>
      </x:c>
      <x:c r="C35" s="486"/>
      <x:c r="D35" s="519"/>
      <x:c r="E35" s="525"/>
      <x:c r="F35" s="525"/>
      <x:c r="G35" s="486"/>
      <x:c r="H35" s="531"/>
      <x:c r="I35" s="466"/>
      <x:c r="J35" s="466"/>
      <x:c r="K35" s="466"/>
      <x:c r="L35" s="466"/>
      <x:c r="M35" s="466"/>
      <x:c r="N35" s="466"/>
      <x:c r="O35" s="466"/>
      <x:c r="P35" s="466"/>
      <x:c r="Q35" s="466"/>
      <x:c r="R35" s="466"/>
      <x:c r="S35" s="466"/>
    </x:row>
    <x:row r="36" ht="20" customHeight="1">
      <x:c r="A36" s="501" t="n">
        <x:v>34</x:v>
      </x:c>
      <x:c r="B36" s="486" t="str">
        <x:v>백제약품</x:v>
      </x:c>
      <x:c r="C36" s="486"/>
      <x:c r="D36" s="519"/>
      <x:c r="E36" s="525"/>
      <x:c r="F36" s="525"/>
      <x:c r="G36" s="486"/>
      <x:c r="H36" s="531"/>
      <x:c r="I36" s="466"/>
      <x:c r="J36" s="466"/>
      <x:c r="K36" s="466"/>
      <x:c r="L36" s="466"/>
      <x:c r="M36" s="466"/>
      <x:c r="N36" s="466"/>
      <x:c r="O36" s="466"/>
      <x:c r="P36" s="466"/>
      <x:c r="Q36" s="466"/>
      <x:c r="R36" s="466"/>
      <x:c r="S36" s="466"/>
    </x:row>
    <x:row r="37" ht="20" customHeight="1">
      <x:c r="A37" s="501" t="n">
        <x:v>35</x:v>
      </x:c>
      <x:c r="B37" s="486" t="str">
        <x:v>삼부팩</x:v>
      </x:c>
      <x:c r="C37" s="486" t="str">
        <x:v>경기 이천시 진상미로1818번길 16-26</x:v>
      </x:c>
      <x:c r="D37" s="519" t="n">
        <x:v>16</x:v>
      </x:c>
      <x:c r="E37" s="525"/>
      <x:c r="F37" s="525" t="n">
        <x:v>2777</x:v>
      </x:c>
      <x:c r="G37" s="486"/>
      <x:c r="H37" s="531"/>
      <x:c r="I37" s="466"/>
      <x:c r="J37" s="466"/>
      <x:c r="K37" s="466"/>
      <x:c r="L37" s="466"/>
      <x:c r="M37" s="466"/>
      <x:c r="N37" s="466"/>
      <x:c r="O37" s="466"/>
      <x:c r="P37" s="466"/>
      <x:c r="Q37" s="466"/>
      <x:c r="R37" s="466"/>
      <x:c r="S37" s="466"/>
    </x:row>
    <x:row r="38" ht="20" customHeight="1">
      <x:c r="A38" s="501" t="n">
        <x:v>36</x:v>
      </x:c>
      <x:c r="B38" s="486" t="str">
        <x:v>화성 엘엔피코스메틱</x:v>
      </x:c>
      <x:c r="C38" s="486" t="str">
        <x:v>경기 화성시 만세구 전곡산단14길 7</x:v>
      </x:c>
      <x:c r="D38" s="519" t="n">
        <x:v>100</x:v>
      </x:c>
      <x:c r="E38" s="525" t="n">
        <x:v>8800</x:v>
      </x:c>
      <x:c r="F38" s="525" t="n">
        <x:v>16940</x:v>
      </x:c>
      <x:c r="G38" s="486"/>
      <x:c r="H38" s="531"/>
      <x:c r="I38" s="466"/>
      <x:c r="J38" s="466"/>
      <x:c r="K38" s="466"/>
      <x:c r="L38" s="466"/>
      <x:c r="M38" s="466"/>
      <x:c r="N38" s="466"/>
      <x:c r="O38" s="466"/>
      <x:c r="P38" s="466"/>
      <x:c r="Q38" s="466"/>
      <x:c r="R38" s="466"/>
      <x:c r="S38" s="466"/>
    </x:row>
    <x:row r="39" ht="20" customHeight="1">
      <x:c r="A39" s="501" t="n">
        <x:v>37</x:v>
      </x:c>
      <x:c r="B39" s="486" t="str">
        <x:v>라이프워크 파주</x:v>
      </x:c>
      <x:c r="C39" s="486" t="str">
        <x:v>경기 파주시 탄현면 금산리</x:v>
      </x:c>
      <x:c r="D39" s="519" t="n">
        <x:v>126</x:v>
      </x:c>
      <x:c r="E39" s="525" t="n">
        <x:v>6000</x:v>
      </x:c>
      <x:c r="F39" s="525" t="n">
        <x:v>21305</x:v>
      </x:c>
      <x:c r="G39" s="486"/>
      <x:c r="H39" s="531"/>
      <x:c r="I39" s="466"/>
      <x:c r="J39" s="466"/>
      <x:c r="K39" s="466"/>
      <x:c r="L39" s="466"/>
      <x:c r="M39" s="466"/>
      <x:c r="N39" s="466"/>
      <x:c r="O39" s="466"/>
      <x:c r="P39" s="466"/>
      <x:c r="Q39" s="466"/>
      <x:c r="R39" s="466"/>
      <x:c r="S39" s="466"/>
    </x:row>
    <x:row r="40" ht="20" customHeight="1">
      <x:c r="A40" s="501" t="n">
        <x:v>38</x:v>
      </x:c>
      <x:c r="B40" s="486" t="str">
        <x:v>동원 로엑스</x:v>
      </x:c>
      <x:c r="C40" s="486" t="str">
        <x:v>이천시 마장면 억만리로 140-27</x:v>
      </x:c>
      <x:c r="D40" s="519" t="n">
        <x:v>16</x:v>
      </x:c>
      <x:c r="E40" s="525"/>
      <x:c r="F40" s="525" t="n">
        <x:v>2713</x:v>
      </x:c>
      <x:c r="G40" s="486" t="str">
        <x:v>2층</x:v>
      </x:c>
      <x:c r="H40" s="531"/>
      <x:c r="I40" s="466"/>
      <x:c r="J40" s="466"/>
      <x:c r="K40" s="466"/>
      <x:c r="L40" s="466"/>
      <x:c r="M40" s="466"/>
      <x:c r="N40" s="466"/>
      <x:c r="O40" s="466"/>
      <x:c r="P40" s="466"/>
      <x:c r="Q40" s="466"/>
      <x:c r="R40" s="466"/>
      <x:c r="S40" s="466"/>
    </x:row>
    <x:row r="41" ht="20" customHeight="1">
      <x:c r="A41" s="501" t="n">
        <x:v>39</x:v>
      </x:c>
      <x:c r="B41" s="486" t="str">
        <x:v>머스크 (여주)</x:v>
      </x:c>
      <x:c r="C41" s="486" t="str">
        <x:v>경기 여주시 가남읍 본두리 18-3 (머스크 본두리 물류센터 2층)</x:v>
      </x:c>
      <x:c r="D41" s="519" t="n">
        <x:v>24</x:v>
      </x:c>
      <x:c r="E41" s="525" t="n">
        <x:v>1200</x:v>
      </x:c>
      <x:c r="F41" s="525"/>
      <x:c r="G41" s="486" t="str">
        <x:v>2층</x:v>
      </x:c>
      <x:c r="H41" s="531"/>
      <x:c r="I41" s="466"/>
      <x:c r="J41" s="466"/>
      <x:c r="K41" s="466"/>
      <x:c r="L41" s="466"/>
      <x:c r="M41" s="466"/>
      <x:c r="N41" s="466"/>
      <x:c r="O41" s="466"/>
      <x:c r="P41" s="466"/>
      <x:c r="Q41" s="466"/>
      <x:c r="R41" s="466"/>
      <x:c r="S41" s="466"/>
    </x:row>
    <x:row r="42" ht="20" customHeight="1">
      <x:c r="A42" s="501" t="n">
        <x:v>40</x:v>
      </x:c>
      <x:c r="B42" s="486" t="str">
        <x:v>캉골</x:v>
      </x:c>
      <x:c r="C42" s="486" t="str">
        <x:v>경기 이천시 호법면 덕평로581번길 10</x:v>
      </x:c>
      <x:c r="D42" s="519" t="n">
        <x:v>23</x:v>
      </x:c>
      <x:c r="E42" s="525"/>
      <x:c r="F42" s="525" t="n">
        <x:v>3940</x:v>
      </x:c>
      <x:c r="G42" s="486"/>
      <x:c r="H42" s="531"/>
      <x:c r="I42" s="466"/>
      <x:c r="J42" s="466"/>
      <x:c r="K42" s="466"/>
      <x:c r="L42" s="466"/>
      <x:c r="M42" s="466"/>
      <x:c r="N42" s="466"/>
      <x:c r="O42" s="466"/>
      <x:c r="P42" s="466"/>
      <x:c r="Q42" s="466"/>
      <x:c r="R42" s="466"/>
      <x:c r="S42" s="466"/>
    </x:row>
    <x:row r="43" ht="20" customHeight="1">
      <x:c r="A43" s="501" t="n">
        <x:v>41</x:v>
      </x:c>
      <x:c r="B43" s="486" t="str">
        <x:v>제이비</x:v>
      </x:c>
      <x:c r="C43" s="486" t="str">
        <x:v>경기 군포시 엘에스로 166번길 9-8</x:v>
      </x:c>
      <x:c r="D43" s="519" t="n">
        <x:v>60</x:v>
      </x:c>
      <x:c r="E43" s="525" t="n">
        <x:v>1000</x:v>
      </x:c>
      <x:c r="F43" s="525" t="n">
        <x:v>10672</x:v>
      </x:c>
      <x:c r="G43" s="486" t="str">
        <x:v>1층</x:v>
      </x:c>
      <x:c r="H43" s="531"/>
      <x:c r="I43" s="466"/>
      <x:c r="J43" s="466"/>
      <x:c r="K43" s="466"/>
      <x:c r="L43" s="466"/>
      <x:c r="M43" s="466"/>
      <x:c r="N43" s="466"/>
      <x:c r="O43" s="466"/>
      <x:c r="P43" s="466"/>
      <x:c r="Q43" s="466"/>
      <x:c r="R43" s="466"/>
      <x:c r="S43" s="466"/>
    </x:row>
    <x:row r="44" ht="20" customHeight="1">
      <x:c r="A44" s="501" t="n">
        <x:v>42</x:v>
      </x:c>
      <x:c r="B44" s="486" t="str">
        <x:v>에코프로이엠</x:v>
      </x:c>
      <x:c r="C44" s="486"/>
      <x:c r="D44" s="519"/>
      <x:c r="E44" s="525"/>
      <x:c r="F44" s="525"/>
      <x:c r="G44" s="486"/>
      <x:c r="H44" s="531"/>
      <x:c r="I44" s="466"/>
      <x:c r="J44" s="466"/>
      <x:c r="K44" s="466"/>
      <x:c r="L44" s="466"/>
      <x:c r="M44" s="466"/>
      <x:c r="N44" s="466"/>
      <x:c r="O44" s="466"/>
      <x:c r="P44" s="466"/>
      <x:c r="Q44" s="466"/>
      <x:c r="R44" s="466"/>
      <x:c r="S44" s="466"/>
    </x:row>
    <x:row r="45" ht="20" customHeight="1">
      <x:c r="A45" s="501" t="n">
        <x:v>43</x:v>
      </x:c>
      <x:c r="B45" s="486" t="str">
        <x:v>OCES 덕평</x:v>
      </x:c>
      <x:c r="C45" s="486"/>
      <x:c r="D45" s="519"/>
      <x:c r="E45" s="525"/>
      <x:c r="F45" s="525"/>
      <x:c r="G45" s="486"/>
      <x:c r="H45" s="531"/>
      <x:c r="I45" s="466"/>
      <x:c r="J45" s="466"/>
      <x:c r="K45" s="466"/>
      <x:c r="L45" s="466"/>
      <x:c r="M45" s="466"/>
      <x:c r="N45" s="466"/>
      <x:c r="O45" s="466"/>
      <x:c r="P45" s="466"/>
      <x:c r="Q45" s="466"/>
      <x:c r="R45" s="466"/>
      <x:c r="S45" s="466"/>
    </x:row>
    <x:row r="46" ht="20" customHeight="1">
      <x:c r="A46" s="501" t="n">
        <x:v>44</x:v>
      </x:c>
      <x:c r="B46" s="486" t="str">
        <x:v>엠코테크놀로지 (K5)</x:v>
      </x:c>
      <x:c r="C46" s="486" t="str">
        <x:v>인천 연수구 송도미래로 150 앰코테크놀로지코리아 </x:v>
      </x:c>
      <x:c r="D46" s="519" t="n">
        <x:v>85</x:v>
      </x:c>
      <x:c r="E46" s="525" t="n">
        <x:v>4500</x:v>
      </x:c>
      <x:c r="F46" s="525" t="n">
        <x:v>14952</x:v>
      </x:c>
      <x:c r="G46" s="486"/>
      <x:c r="H46" s="531"/>
      <x:c r="I46" s="466"/>
      <x:c r="J46" s="466"/>
      <x:c r="K46" s="466"/>
      <x:c r="L46" s="466"/>
      <x:c r="M46" s="466"/>
      <x:c r="N46" s="466"/>
      <x:c r="O46" s="466"/>
      <x:c r="P46" s="466"/>
      <x:c r="Q46" s="466"/>
      <x:c r="R46" s="466"/>
      <x:c r="S46" s="466"/>
    </x:row>
    <x:row r="47" ht="20" customHeight="1">
      <x:c r="A47" s="501" t="n">
        <x:v>45</x:v>
      </x:c>
      <x:c r="B47" s="486" t="str">
        <x:v>콜롬비아</x:v>
      </x:c>
      <x:c r="C47" s="486" t="str">
        <x:v>경기 이천시 대월면 대월로 916</x:v>
      </x:c>
      <x:c r="D47" s="519" t="n">
        <x:v>18</x:v>
      </x:c>
      <x:c r="E47" s="525"/>
      <x:c r="F47" s="525" t="n">
        <x:v>3113</x:v>
      </x:c>
      <x:c r="G47" s="486"/>
      <x:c r="H47" s="531"/>
      <x:c r="I47" s="466"/>
      <x:c r="J47" s="466"/>
      <x:c r="K47" s="466"/>
      <x:c r="L47" s="466"/>
      <x:c r="M47" s="466"/>
      <x:c r="N47" s="466"/>
      <x:c r="O47" s="466"/>
      <x:c r="P47" s="466"/>
      <x:c r="Q47" s="466"/>
      <x:c r="R47" s="466"/>
      <x:c r="S47" s="466"/>
    </x:row>
    <x:row r="48" ht="20" customHeight="1">
      <x:c r="A48" s="501" t="n">
        <x:v>46</x:v>
      </x:c>
      <x:c r="B48" s="486" t="str">
        <x:v>오산 GS정보통신</x:v>
      </x:c>
      <x:c r="C48" s="486" t="str">
        <x:v>풍농 오산 물류센터</x:v>
      </x:c>
      <x:c r="D48" s="519" t="n">
        <x:v>68</x:v>
      </x:c>
      <x:c r="E48" s="525" t="n">
        <x:v>4500</x:v>
      </x:c>
      <x:c r="F48" s="525" t="n">
        <x:v>12081</x:v>
      </x:c>
      <x:c r="G48" s="486" t="str">
        <x:v>2층, C와D사이</x:v>
      </x:c>
      <x:c r="H48" s="531"/>
      <x:c r="I48" s="466"/>
      <x:c r="J48" s="466"/>
      <x:c r="K48" s="466"/>
      <x:c r="L48" s="466"/>
      <x:c r="M48" s="466"/>
      <x:c r="N48" s="466"/>
      <x:c r="O48" s="466"/>
      <x:c r="P48" s="466"/>
      <x:c r="Q48" s="466"/>
      <x:c r="R48" s="466"/>
      <x:c r="S48" s="466"/>
    </x:row>
    <x:row r="49" ht="20" customHeight="1">
      <x:c r="A49" s="501" t="n">
        <x:v>47</x:v>
      </x:c>
      <x:c r="B49" s="486" t="str">
        <x:v>롯데웰푸드</x:v>
      </x:c>
      <x:c r="C49" s="486" t="str">
        <x:v>롯데웰푸드 평택공장 (진위면 경기대로 1952)</x:v>
      </x:c>
      <x:c r="D49" s="519" t="n">
        <x:v>70</x:v>
      </x:c>
      <x:c r="E49" s="525" t="n">
        <x:v>4500</x:v>
      </x:c>
      <x:c r="F49" s="525" t="n">
        <x:v>12420</x:v>
      </x:c>
      <x:c r="G49" s="486"/>
      <x:c r="H49" s="531"/>
      <x:c r="I49" s="466"/>
      <x:c r="J49" s="466"/>
      <x:c r="K49" s="466"/>
      <x:c r="L49" s="466"/>
      <x:c r="M49" s="466"/>
      <x:c r="N49" s="466"/>
      <x:c r="O49" s="466"/>
      <x:c r="P49" s="466"/>
      <x:c r="Q49" s="466"/>
      <x:c r="R49" s="466"/>
      <x:c r="S49" s="466"/>
    </x:row>
    <x:row r="50" ht="20" customHeight="1">
      <x:c r="A50" s="501" t="n">
        <x:v>48</x:v>
      </x:c>
      <x:c r="B50" s="486" t="str">
        <x:v>KCTC</x:v>
      </x:c>
      <x:c r="C50" s="486" t="str">
        <x:v>경기 이천시 마장면 서이천로 91, 1층(건물상 2층)</x:v>
      </x:c>
      <x:c r="D50" s="519" t="n">
        <x:v>18</x:v>
      </x:c>
      <x:c r="E50" s="525"/>
      <x:c r="F50" s="525"/>
      <x:c r="G50" s="486"/>
      <x:c r="H50" s="531"/>
      <x:c r="I50" s="466"/>
      <x:c r="J50" s="466"/>
      <x:c r="K50" s="466"/>
      <x:c r="L50" s="466"/>
      <x:c r="M50" s="466"/>
      <x:c r="N50" s="466"/>
      <x:c r="O50" s="466"/>
      <x:c r="P50" s="466"/>
      <x:c r="Q50" s="466"/>
      <x:c r="R50" s="466"/>
      <x:c r="S50" s="466"/>
    </x:row>
    <x:row r="51" ht="20" customHeight="1">
      <x:c r="A51" s="501" t="n">
        <x:v>49</x:v>
      </x:c>
      <x:c r="B51" s="486" t="str">
        <x:v>BGF 서인천</x:v>
      </x:c>
      <x:c r="C51" s="486" t="str">
        <x:v>인천광역시 서구 원창동 488 BGF로지스 서인천센터</x:v>
      </x:c>
      <x:c r="D51" s="519" t="n">
        <x:v>93</x:v>
      </x:c>
      <x:c r="E51" s="525" t="n">
        <x:v>3700</x:v>
      </x:c>
      <x:c r="F51" s="525" t="n">
        <x:v>16380</x:v>
      </x:c>
      <x:c r="G51" s="486"/>
      <x:c r="H51" s="531"/>
      <x:c r="I51" s="466"/>
      <x:c r="J51" s="466"/>
      <x:c r="K51" s="466"/>
      <x:c r="L51" s="466"/>
      <x:c r="M51" s="466"/>
      <x:c r="N51" s="466"/>
      <x:c r="O51" s="466"/>
      <x:c r="P51" s="466"/>
      <x:c r="Q51" s="466"/>
      <x:c r="R51" s="466"/>
      <x:c r="S51" s="466"/>
    </x:row>
    <x:row r="52" ht="20" customHeight="1">
      <x:c r="A52" s="501" t="n">
        <x:v>50</x:v>
      </x:c>
      <x:c r="B52" s="486" t="str">
        <x:v>BGF 아산</x:v>
      </x:c>
      <x:c r="C52" s="486" t="str">
        <x:v>충남 아산시 염치읍 서원리 72-16</x:v>
      </x:c>
      <x:c r="D52" s="519" t="n">
        <x:v>105</x:v>
      </x:c>
      <x:c r="E52" s="525"/>
      <x:c r="F52" s="525" t="n">
        <x:v>17715</x:v>
      </x:c>
      <x:c r="G52" s="486"/>
      <x:c r="H52" s="531"/>
      <x:c r="I52" s="466"/>
      <x:c r="J52" s="466"/>
      <x:c r="K52" s="466"/>
      <x:c r="L52" s="466"/>
      <x:c r="M52" s="466"/>
      <x:c r="N52" s="466"/>
      <x:c r="O52" s="466"/>
      <x:c r="P52" s="466"/>
      <x:c r="Q52" s="466"/>
      <x:c r="R52" s="466"/>
      <x:c r="S52" s="466"/>
    </x:row>
    <x:row r="53" ht="20" customHeight="1">
      <x:c r="A53" s="501" t="n">
        <x:v>51</x:v>
      </x:c>
      <x:c r="B53" s="486" t="str">
        <x:v>뉴발란스</x:v>
      </x:c>
      <x:c r="C53" s="486" t="str">
        <x:v>경기도 안성시 일죽면 능국리 23-2</x:v>
      </x:c>
      <x:c r="D53" s="519" t="n">
        <x:v>35</x:v>
      </x:c>
      <x:c r="E53" s="525"/>
      <x:c r="F53" s="525" t="n">
        <x:v>6014</x:v>
      </x:c>
      <x:c r="G53" s="486"/>
      <x:c r="H53" s="531"/>
      <x:c r="I53" s="466"/>
      <x:c r="J53" s="466"/>
      <x:c r="K53" s="466"/>
      <x:c r="L53" s="466"/>
      <x:c r="M53" s="466"/>
      <x:c r="N53" s="466"/>
      <x:c r="O53" s="466"/>
      <x:c r="P53" s="466"/>
      <x:c r="Q53" s="466"/>
      <x:c r="R53" s="466"/>
      <x:c r="S53" s="466"/>
    </x:row>
    <x:row r="54" ht="20" customHeight="1">
      <x:c r="A54" s="501" t="n">
        <x:v>52</x:v>
      </x:c>
      <x:c r="B54" s="486" t="str">
        <x:v>CJ 올리브영 양지센터</x:v>
      </x:c>
      <x:c r="C54" s="486" t="str">
        <x:v>경기 용인시 처인구 양지읍 남평로 111-73</x:v>
      </x:c>
      <x:c r="D54" s="519" t="n">
        <x:v>28</x:v>
      </x:c>
      <x:c r="E54" s="525"/>
      <x:c r="F54" s="525" t="n">
        <x:v>4887</x:v>
      </x:c>
      <x:c r="G54" s="486"/>
      <x:c r="H54" s="531"/>
      <x:c r="I54" s="466"/>
      <x:c r="J54" s="466"/>
      <x:c r="K54" s="466"/>
      <x:c r="L54" s="466"/>
      <x:c r="M54" s="466"/>
      <x:c r="N54" s="466"/>
      <x:c r="O54" s="466"/>
      <x:c r="P54" s="466"/>
      <x:c r="Q54" s="466"/>
      <x:c r="R54" s="466"/>
      <x:c r="S54" s="466"/>
    </x:row>
    <x:row r="55" ht="20" customHeight="1">
      <x:c r="A55" s="501" t="n">
        <x:v>53</x:v>
      </x:c>
      <x:c r="B55" s="486" t="str">
        <x:v>파주교원물류센터</x:v>
      </x:c>
      <x:c r="C55" s="486" t="str">
        <x:v>파주시 검산동 448-2</x:v>
      </x:c>
      <x:c r="D55" s="519" t="n">
        <x:v>115</x:v>
      </x:c>
      <x:c r="E55" s="525" t="n">
        <x:v>7400</x:v>
      </x:c>
      <x:c r="F55" s="525" t="n">
        <x:v>20026</x:v>
      </x:c>
      <x:c r="G55" s="486"/>
      <x:c r="H55" s="531"/>
      <x:c r="I55" s="466"/>
      <x:c r="J55" s="466"/>
      <x:c r="K55" s="466"/>
      <x:c r="L55" s="466"/>
      <x:c r="M55" s="466"/>
      <x:c r="N55" s="466"/>
      <x:c r="O55" s="466"/>
      <x:c r="P55" s="466"/>
      <x:c r="Q55" s="466"/>
      <x:c r="R55" s="466"/>
      <x:c r="S55" s="466"/>
    </x:row>
    <x:row r="56" ht="20" customHeight="1">
      <x:c r="A56" s="501" t="n">
        <x:v>54</x:v>
      </x:c>
      <x:c r="B56" s="486" t="str">
        <x:v>부산 팬스타</x:v>
      </x:c>
      <x:c r="C56" s="486" t="str">
        <x:v>경남 창원시 진해구 신항7로 56 팬스타신항 국제물류센터</x:v>
      </x:c>
      <x:c r="D56" s="519" t="n">
        <x:v>332</x:v>
      </x:c>
      <x:c r="E56" s="525" t="n">
        <x:v>16200</x:v>
      </x:c>
      <x:c r="F56" s="525" t="n">
        <x:v>55344</x:v>
      </x:c>
      <x:c r="G56" s="486"/>
      <x:c r="H56" s="531"/>
      <x:c r="I56" s="466"/>
      <x:c r="J56" s="466"/>
      <x:c r="K56" s="466"/>
      <x:c r="L56" s="466"/>
      <x:c r="M56" s="466"/>
      <x:c r="N56" s="466"/>
      <x:c r="O56" s="466"/>
      <x:c r="P56" s="466"/>
      <x:c r="Q56" s="466"/>
      <x:c r="R56" s="466"/>
      <x:c r="S56" s="466"/>
    </x:row>
    <x:row r="57" ht="20" customHeight="1">
      <x:c r="A57" s="501" t="n">
        <x:v>55</x:v>
      </x:c>
      <x:c r="B57" s="486" t="str">
        <x:v>파주 삼송프레쉬</x:v>
      </x:c>
      <x:c r="C57" s="486" t="str">
        <x:v>경기도 고양시 삼막2길 55 프레시로지 물류센터</x:v>
      </x:c>
      <x:c r="D57" s="519" t="n">
        <x:v>94</x:v>
      </x:c>
      <x:c r="E57" s="525" t="n">
        <x:v>6000</x:v>
      </x:c>
      <x:c r="F57" s="525" t="n">
        <x:v>15744</x:v>
      </x:c>
      <x:c r="G57" s="486"/>
      <x:c r="H57" s="531"/>
      <x:c r="I57" s="466"/>
      <x:c r="J57" s="466"/>
      <x:c r="K57" s="466"/>
      <x:c r="L57" s="466"/>
      <x:c r="M57" s="466"/>
      <x:c r="N57" s="466"/>
      <x:c r="O57" s="466"/>
      <x:c r="P57" s="466"/>
      <x:c r="Q57" s="466"/>
      <x:c r="R57" s="466"/>
      <x:c r="S57" s="466"/>
    </x:row>
    <x:row r="58" ht="20" customHeight="1">
      <x:c r="A58" s="501" t="n">
        <x:v>56</x:v>
      </x:c>
      <x:c r="B58" s="486" t="str">
        <x:v>부천 롯데 한스타</x:v>
      </x:c>
      <x:c r="C58" s="486" t="str">
        <x:v>부천시 원미구 부천로 208번길 70</x:v>
      </x:c>
      <x:c r="D58" s="519" t="n">
        <x:v>77</x:v>
      </x:c>
      <x:c r="E58" s="525" t="n">
        <x:v>1900</x:v>
      </x:c>
      <x:c r="F58" s="525" t="n">
        <x:v>12781</x:v>
      </x:c>
      <x:c r="G58" s="486"/>
      <x:c r="H58" s="531"/>
      <x:c r="I58" s="466"/>
      <x:c r="J58" s="466"/>
      <x:c r="K58" s="466"/>
      <x:c r="L58" s="466"/>
      <x:c r="M58" s="466"/>
      <x:c r="N58" s="466"/>
      <x:c r="O58" s="466"/>
      <x:c r="P58" s="466"/>
      <x:c r="Q58" s="466"/>
      <x:c r="R58" s="466"/>
      <x:c r="S58" s="466"/>
    </x:row>
    <x:row r="59" ht="20" customHeight="1">
      <x:c r="A59" s="501" t="n">
        <x:v>57</x:v>
      </x:c>
      <x:c r="B59" s="486"/>
      <x:c r="C59" s="486"/>
      <x:c r="D59" s="519"/>
      <x:c r="E59" s="525"/>
      <x:c r="F59" s="525"/>
      <x:c r="G59" s="486"/>
      <x:c r="H59" s="531"/>
      <x:c r="I59" s="466"/>
      <x:c r="J59" s="466"/>
      <x:c r="K59" s="466"/>
      <x:c r="L59" s="466"/>
      <x:c r="M59" s="466"/>
      <x:c r="N59" s="466"/>
      <x:c r="O59" s="466"/>
      <x:c r="P59" s="466"/>
      <x:c r="Q59" s="466"/>
      <x:c r="R59" s="466"/>
      <x:c r="S59" s="466"/>
    </x:row>
    <x:row r="60" ht="20" customHeight="1">
      <x:c r="A60" s="501" t="n">
        <x:v>58</x:v>
      </x:c>
      <x:c r="B60" s="486"/>
      <x:c r="C60" s="486"/>
      <x:c r="D60" s="519"/>
      <x:c r="E60" s="525"/>
      <x:c r="F60" s="525"/>
      <x:c r="G60" s="486"/>
      <x:c r="H60" s="531"/>
      <x:c r="I60" s="466"/>
      <x:c r="J60" s="466"/>
      <x:c r="K60" s="466"/>
      <x:c r="L60" s="466"/>
      <x:c r="M60" s="466"/>
      <x:c r="N60" s="466"/>
      <x:c r="O60" s="466"/>
      <x:c r="P60" s="466"/>
      <x:c r="Q60" s="466"/>
      <x:c r="R60" s="466"/>
      <x:c r="S60" s="466"/>
    </x:row>
    <x:row r="61" ht="20" customHeight="1">
      <x:c r="A61" s="501" t="n">
        <x:v>59</x:v>
      </x:c>
      <x:c r="B61" s="486"/>
      <x:c r="C61" s="486"/>
      <x:c r="D61" s="519"/>
      <x:c r="E61" s="525"/>
      <x:c r="F61" s="525"/>
      <x:c r="G61" s="486"/>
      <x:c r="H61" s="531"/>
      <x:c r="I61" s="466"/>
      <x:c r="J61" s="466"/>
      <x:c r="K61" s="466"/>
      <x:c r="L61" s="466"/>
      <x:c r="M61" s="466"/>
      <x:c r="N61" s="466"/>
      <x:c r="O61" s="466"/>
      <x:c r="P61" s="466"/>
      <x:c r="Q61" s="466"/>
      <x:c r="R61" s="466"/>
      <x:c r="S61" s="466"/>
    </x:row>
    <x:row r="62" ht="20" customHeight="1">
      <x:c r="A62" s="502" t="n">
        <x:v>60</x:v>
      </x:c>
      <x:c r="B62" s="489"/>
      <x:c r="C62" s="489"/>
      <x:c r="D62" s="520"/>
      <x:c r="E62" s="526"/>
      <x:c r="F62" s="526"/>
      <x:c r="G62" s="489"/>
      <x:c r="H62" s="532"/>
      <x:c r="I62" s="466"/>
      <x:c r="J62" s="466"/>
      <x:c r="K62" s="466"/>
      <x:c r="L62" s="466"/>
      <x:c r="M62" s="466"/>
      <x:c r="N62" s="466"/>
      <x:c r="O62" s="466"/>
      <x:c r="P62" s="466"/>
      <x:c r="Q62" s="466"/>
      <x:c r="R62" s="466"/>
      <x:c r="S62" s="466"/>
    </x:row>
    <x:row r="63">
      <x:c r="A63" s="167"/>
      <x:c r="B63" s="133"/>
      <x:c r="C63" s="133"/>
      <x:c r="D63" s="157"/>
      <x:c r="E63" s="155"/>
      <x:c r="F63" s="155"/>
      <x:c r="G63" s="191"/>
      <x:c r="H63" s="133"/>
      <x:c r="I63" s="133"/>
    </x:row>
  </x:sheetData>
  <x:mergeCells>
    <x:mergeCell ref="A1:H1"/>
    <x:mergeCell ref="L1:S1"/>
    <x:mergeCell ref="N13:N14"/>
    <x:mergeCell ref="O13:O14"/>
    <x:mergeCell ref="P13:P14"/>
    <x:mergeCell ref="Q13:Q14"/>
    <x:mergeCell ref="N25:N26"/>
    <x:mergeCell ref="O25:O26"/>
    <x:mergeCell ref="P25:P26"/>
    <x:mergeCell ref="Q25:Q26"/>
  </x:mergeCells>
  <x:pageMargins left="0.7" right="0.7" top="0.75" bottom="0.75" header="0.3" footer="0.3"/>
  <x:legacyDrawing xmlns:r="http://schemas.openxmlformats.org/officeDocument/2006/relationships" r:id="Re44b9db3a89244a1"/>
</x:worksheet>
</file>

<file path=xl/worksheets/sheet2.xml><?xml version="1.0" encoding="utf-8"?>
<x:worksheet xmlns:x="http://schemas.openxmlformats.org/spreadsheetml/2006/main">
  <x:sheetPr>
    <x:tabColor rgb="FFC00000"/>
  </x:sheetPr>
  <x:sheetViews>
    <x:sheetView showGridLines="0" workbookViewId="0"/>
  </x:sheetViews>
  <x:sheetFormatPr defaultColWidth="14.42578125" defaultRowHeight="15"/>
  <x:cols>
    <x:col min="1" max="1" width="4.85546875" style="36" customWidth="1"/>
    <x:col min="2" max="2" width="17.28515625" customWidth="1"/>
    <x:col min="3" max="6" width="15.140625" customWidth="1"/>
    <x:col min="7" max="14" width="19.140625" customWidth="1"/>
    <x:col min="15" max="15" width="30.7109375" customWidth="1"/>
    <x:col min="16" max="16" width="10.42578125" customWidth="1"/>
    <x:col min="17" max="17" width="3.28515625" customWidth="1"/>
    <x:col min="18" max="18" width="17.140625" customWidth="1"/>
    <x:col min="19" max="19" width="3.28515625" customWidth="1"/>
    <x:col min="20" max="20" width="17.140625" customWidth="1"/>
    <x:col min="21" max="21" width="3.28515625" customWidth="1"/>
  </x:cols>
  <x:sheetData>
    <x:row r="1" ht="21" customHeight="1">
      <x:c r="A1" s="101"/>
      <x:c r="B1" s="1"/>
      <x:c r="C1" s="2"/>
      <x:c r="D1" s="3"/>
      <x:c r="E1" s="3"/>
      <x:c r="F1" s="4"/>
      <x:c r="G1" s="2"/>
      <x:c r="H1" s="2"/>
      <x:c r="I1" s="5"/>
      <x:c r="J1" s="6"/>
      <x:c r="K1" s="7"/>
      <x:c r="L1" s="6"/>
      <x:c r="M1" s="6"/>
      <x:c r="N1" s="6"/>
      <x:c r="O1" s="5"/>
      <x:c r="P1" s="9"/>
      <x:c r="Q1" s="8"/>
      <x:c r="R1" s="8"/>
      <x:c r="S1" s="8"/>
      <x:c r="T1" s="8"/>
      <x:c r="U1" s="8"/>
    </x:row>
    <x:row r="2" ht="24.75" customHeight="1">
      <x:c r="A2" s="101"/>
      <x:c r="B2" s="214" t="s">
        <x:v>0</x:v>
      </x:c>
      <x:c r="C2" s="215"/>
      <x:c r="D2" s="215"/>
      <x:c r="E2" s="215"/>
      <x:c r="F2" s="216"/>
      <x:c r="G2" s="10"/>
      <x:c r="H2" s="11" t="s">
        <x:v>1</x:v>
      </x:c>
      <x:c r="I2" s="217" t="s">
        <x:v>2</x:v>
      </x:c>
      <x:c r="J2" s="215"/>
      <x:c r="K2" s="215"/>
      <x:c r="L2" s="215"/>
      <x:c r="M2" s="215"/>
      <x:c r="N2" s="215"/>
      <x:c r="O2" s="216"/>
      <x:c r="Q2" s="12"/>
      <x:c r="R2" s="13" t="s">
        <x:v>3</x:v>
      </x:c>
      <x:c r="S2" s="13"/>
      <x:c r="T2" s="13" t="s">
        <x:v>4</x:v>
      </x:c>
      <x:c r="U2" s="12"/>
    </x:row>
    <x:row r="3" ht="21" customHeight="1">
      <x:c r="A3" s="101"/>
      <x:c r="B3" s="14"/>
      <x:c r="C3" s="14"/>
      <x:c r="D3" s="15"/>
      <x:c r="E3" s="15"/>
      <x:c r="F3" s="16"/>
      <x:c r="G3" s="17"/>
      <x:c r="H3" s="18"/>
      <x:c r="I3" s="19"/>
      <x:c r="J3" s="19"/>
      <x:c r="K3" s="19"/>
      <x:c r="L3" s="20"/>
      <x:c r="M3" s="20"/>
      <x:c r="N3" s="20"/>
      <x:c r="O3" s="39"/>
      <x:c r="P3" s="20"/>
      <x:c r="Q3" s="21"/>
      <x:c r="R3" s="22" t="s">
        <x:v>5</x:v>
      </x:c>
      <x:c r="S3" s="23"/>
      <x:c r="T3" s="22" t="s">
        <x:v>6</x:v>
      </x:c>
      <x:c r="U3" s="21"/>
    </x:row>
    <x:row r="4" ht="21" customHeight="1">
      <x:c r="A4" s="101"/>
      <x:c r="B4" s="218" t="s">
        <x:v>7</x:v>
      </x:c>
      <x:c r="C4" s="219"/>
      <x:c r="D4" s="219"/>
      <x:c r="E4" s="219"/>
      <x:c r="F4" s="219"/>
      <x:c r="G4" s="219"/>
      <x:c r="H4" s="219"/>
      <x:c r="I4" s="219"/>
      <x:c r="J4" s="219"/>
      <x:c r="K4" s="219"/>
      <x:c r="L4" s="219"/>
      <x:c r="M4" s="219"/>
      <x:c r="N4" s="219"/>
      <x:c r="O4" s="219"/>
      <x:c r="P4" s="220"/>
      <x:c r="Q4" s="21"/>
      <x:c r="R4" s="22" t="s">
        <x:v>8</x:v>
      </x:c>
      <x:c r="S4" s="23"/>
      <x:c r="T4" s="22" t="s">
        <x:v>9</x:v>
      </x:c>
      <x:c r="U4" s="21"/>
    </x:row>
    <x:row r="5" ht="21" customHeight="1">
      <x:c r="A5" s="101"/>
      <x:c r="B5" s="40" t="s">
        <x:v>10</x:v>
      </x:c>
      <x:c r="C5" s="41" t="s">
        <x:v>11</x:v>
      </x:c>
      <x:c r="D5" s="41" t="s">
        <x:v>12</x:v>
      </x:c>
      <x:c r="E5" s="40" t="s">
        <x:v>13</x:v>
      </x:c>
      <x:c r="F5" s="40" t="s">
        <x:v>14</x:v>
      </x:c>
      <x:c r="G5" s="223" t="s">
        <x:v>15</x:v>
      </x:c>
      <x:c r="H5" s="223"/>
      <x:c r="I5" s="223"/>
      <x:c r="J5" s="223"/>
      <x:c r="K5" s="223"/>
      <x:c r="L5" s="223"/>
      <x:c r="M5" s="223"/>
      <x:c r="N5" s="114" t="s">
        <x:v>16</x:v>
      </x:c>
      <x:c r="O5" s="41" t="s">
        <x:v>17</x:v>
      </x:c>
      <x:c r="P5" s="40" t="s">
        <x:v>18</x:v>
      </x:c>
      <x:c r="Q5" s="21"/>
      <x:c r="R5" s="22" t="s">
        <x:v>19</x:v>
      </x:c>
      <x:c r="S5" s="23"/>
      <x:c r="T5" s="22" t="s">
        <x:v>20</x:v>
      </x:c>
      <x:c r="U5" s="21"/>
    </x:row>
    <x:row r="6" ht="30" customHeight="1">
      <x:c r="A6" s="104">
        <x:v>1</x:v>
      </x:c>
      <x:c r="B6" s="221" t="s">
        <x:v>21</x:v>
      </x:c>
      <x:c r="C6" s="222"/>
      <x:c r="D6" s="222"/>
      <x:c r="E6" s="222"/>
      <x:c r="F6" s="222"/>
      <x:c r="G6" s="222"/>
      <x:c r="H6" s="222"/>
      <x:c r="I6" s="222"/>
      <x:c r="J6" s="222"/>
      <x:c r="K6" s="222"/>
      <x:c r="L6" s="222"/>
      <x:c r="M6" s="222"/>
      <x:c r="N6" s="222"/>
      <x:c r="O6" s="222"/>
      <x:c r="P6" s="81"/>
      <x:c r="Q6" s="21"/>
      <x:c r="R6" s="25" t="s">
        <x:v>22</x:v>
      </x:c>
      <x:c r="S6" s="23"/>
      <x:c r="T6" s="22"/>
      <x:c r="U6" s="21"/>
    </x:row>
    <x:row r="7" ht="15.949999809265137" customHeight="1">
      <x:c r="A7" s="42"/>
      <x:c r="B7" s="26" t="s">
        <x:v>23</x:v>
      </x:c>
      <x:c r="C7" s="26" t="s">
        <x:v>20</x:v>
      </x:c>
      <x:c r="D7" s="28">
        <x:v>46140</x:v>
      </x:c>
      <x:c r="E7" s="28">
        <x:v>46141</x:v>
      </x:c>
      <x:c r="F7" s="84" t="n">
        <x:f>DAYS360(D7,E7)</x:f>
        <x:v>1</x:v>
      </x:c>
      <x:c r="G7" s="224"/>
      <x:c r="H7" s="225"/>
      <x:c r="I7" s="225"/>
      <x:c r="J7" s="225"/>
      <x:c r="K7" s="225"/>
      <x:c r="L7" s="225"/>
      <x:c r="M7" s="225"/>
      <x:c r="N7" s="117"/>
      <x:c r="O7" s="85"/>
      <x:c r="P7" s="85"/>
      <x:c r="Q7" s="27"/>
      <x:c r="R7" s="25" t="s">
        <x:v>24</x:v>
      </x:c>
      <x:c r="S7" s="27"/>
      <x:c r="T7" s="27"/>
      <x:c r="U7" s="27"/>
    </x:row>
    <x:row r="8" ht="15.949999809265137" customHeight="1">
      <x:c r="A8" s="102"/>
      <x:c r="B8" s="86"/>
      <x:c r="C8" s="86"/>
      <x:c r="D8" s="28"/>
      <x:c r="E8" s="28"/>
      <x:c r="F8" s="84" t="e">
        <x:f t="shared" ref="F8:F9" si="0">DAYS360(D8,E8)</x:f>
      </x:c>
      <x:c r="G8" s="224"/>
      <x:c r="H8" s="225"/>
      <x:c r="I8" s="225"/>
      <x:c r="J8" s="225"/>
      <x:c r="K8" s="225"/>
      <x:c r="L8" s="225"/>
      <x:c r="M8" s="225"/>
      <x:c r="N8" s="117"/>
      <x:c r="O8" s="85"/>
      <x:c r="P8" s="85"/>
      <x:c r="Q8" s="30"/>
      <x:c r="R8" s="25"/>
      <x:c r="S8" s="30"/>
      <x:c r="T8" s="30"/>
      <x:c r="U8" s="30"/>
    </x:row>
    <x:row r="9" ht="15.949999809265137" customHeight="1">
      <x:c r="A9" s="102"/>
      <x:c r="B9" s="86"/>
      <x:c r="C9" s="86"/>
      <x:c r="D9" s="28"/>
      <x:c r="E9" s="28"/>
      <x:c r="F9" s="84">
        <x:f t="shared" si="0"/>
        <x:v>0</x:v>
      </x:c>
      <x:c r="G9" s="224"/>
      <x:c r="H9" s="225"/>
      <x:c r="I9" s="225"/>
      <x:c r="J9" s="225"/>
      <x:c r="K9" s="225"/>
      <x:c r="L9" s="225"/>
      <x:c r="M9" s="225"/>
      <x:c r="N9" s="117"/>
      <x:c r="O9" s="85"/>
      <x:c r="P9" s="85"/>
      <x:c r="Q9" s="30"/>
      <x:c r="R9" s="25"/>
      <x:c r="S9" s="30"/>
      <x:c r="T9" s="30"/>
      <x:c r="U9" s="30"/>
    </x:row>
    <x:row r="10" ht="15.949999809265137" customHeight="1">
      <x:c r="A10" s="103"/>
      <x:c r="B10" s="88"/>
      <x:c r="C10" s="88"/>
      <x:c r="D10" s="28"/>
      <x:c r="E10" s="28"/>
      <x:c r="F10" s="84" t="e">
        <x:f t="shared" ref="F10:F11" si="1">DAYS360(D10,E10)</x:f>
      </x:c>
      <x:c r="G10" s="224"/>
      <x:c r="H10" s="225"/>
      <x:c r="I10" s="225"/>
      <x:c r="J10" s="225"/>
      <x:c r="K10" s="225"/>
      <x:c r="L10" s="225"/>
      <x:c r="M10" s="225"/>
      <x:c r="N10" s="117"/>
      <x:c r="O10" s="88"/>
      <x:c r="P10" s="91"/>
      <x:c r="Q10" s="30"/>
      <x:c r="R10" s="30"/>
      <x:c r="S10" s="30"/>
      <x:c r="T10" s="30"/>
      <x:c r="U10" s="30"/>
    </x:row>
    <x:row r="11" ht="15.949999809265137" customHeight="1">
      <x:c r="A11" s="103"/>
      <x:c r="B11" s="88"/>
      <x:c r="C11" s="88"/>
      <x:c r="D11" s="28"/>
      <x:c r="E11" s="28"/>
      <x:c r="F11" s="84">
        <x:f t="shared" si="1"/>
        <x:v>0</x:v>
      </x:c>
      <x:c r="G11" s="224"/>
      <x:c r="H11" s="225"/>
      <x:c r="I11" s="225"/>
      <x:c r="J11" s="225"/>
      <x:c r="K11" s="225"/>
      <x:c r="L11" s="225"/>
      <x:c r="M11" s="225"/>
      <x:c r="N11" s="117"/>
      <x:c r="O11" s="88"/>
      <x:c r="P11" s="91"/>
      <x:c r="Q11" s="30"/>
      <x:c r="R11" s="13" t="s">
        <x:v>25</x:v>
      </x:c>
      <x:c r="S11" s="30"/>
      <x:c r="T11" s="30"/>
      <x:c r="U11" s="30"/>
    </x:row>
    <x:row r="12" ht="21" customHeight="1">
      <x:c r="A12" s="103"/>
      <x:c r="B12" s="107"/>
      <x:c r="C12" s="107"/>
      <x:c r="D12" s="108"/>
      <x:c r="E12" s="108"/>
      <x:c r="F12" s="109"/>
      <x:c r="G12" s="107"/>
      <x:c r="H12" s="110"/>
      <x:c r="I12" s="110"/>
      <x:c r="J12" s="110"/>
      <x:c r="K12" s="110"/>
      <x:c r="L12" s="110"/>
      <x:c r="M12" s="110"/>
      <x:c r="N12" s="131" t="n">
        <x:f>SUM(N7:N11)</x:f>
        <x:v>0</x:v>
      </x:c>
      <x:c r="O12" s="107"/>
      <x:c r="P12" s="111"/>
      <x:c r="Q12" s="112"/>
      <x:c r="R12" s="113"/>
      <x:c r="S12" s="112"/>
      <x:c r="T12" s="112"/>
      <x:c r="U12" s="112"/>
    </x:row>
    <x:row r="13" ht="21" customHeight="1">
      <x:c r="A13" s="75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49"/>
      <x:c r="Q13" s="30"/>
      <x:c r="R13" s="25" t="s">
        <x:v>26</x:v>
      </x:c>
      <x:c r="S13" s="30"/>
      <x:c r="T13" s="30"/>
      <x:c r="U13" s="30"/>
    </x:row>
    <x:row r="14" ht="26.25">
      <x:c r="A14" s="104">
        <x:v>2</x:v>
      </x:c>
      <x:c r="B14" s="221" t="s">
        <x:v>27</x:v>
      </x:c>
      <x:c r="C14" s="222"/>
      <x:c r="D14" s="222"/>
      <x:c r="E14" s="222"/>
      <x:c r="F14" s="222"/>
      <x:c r="G14" s="222"/>
      <x:c r="H14" s="222"/>
      <x:c r="I14" s="222"/>
      <x:c r="J14" s="222"/>
      <x:c r="K14" s="222"/>
      <x:c r="L14" s="222"/>
      <x:c r="M14" s="222"/>
      <x:c r="N14" s="222"/>
      <x:c r="O14" s="222"/>
      <x:c r="P14" s="92"/>
      <x:c r="Q14" s="30"/>
      <x:c r="R14" s="25" t="s">
        <x:v>28</x:v>
      </x:c>
      <x:c r="S14" s="30"/>
      <x:c r="T14" s="30"/>
      <x:c r="U14" s="30"/>
    </x:row>
    <x:row r="15" ht="15.949999809265137" customHeight="1">
      <x:c r="A15" s="75"/>
      <x:c r="B15" s="26" t="s">
        <x:v>23</x:v>
      </x:c>
      <x:c r="C15" s="26" t="s">
        <x:v>20</x:v>
      </x:c>
      <x:c r="D15" s="28">
        <x:v>46140</x:v>
      </x:c>
      <x:c r="E15" s="28">
        <x:v>46141</x:v>
      </x:c>
      <x:c r="F15" s="84" t="n">
        <x:f>DAYS360(D15,E15)</x:f>
        <x:v>1</x:v>
      </x:c>
      <x:c r="G15" s="224"/>
      <x:c r="H15" s="225"/>
      <x:c r="I15" s="225"/>
      <x:c r="J15" s="225"/>
      <x:c r="K15" s="225"/>
      <x:c r="L15" s="225"/>
      <x:c r="M15" s="225"/>
      <x:c r="N15" s="117"/>
      <x:c r="O15" s="85"/>
      <x:c r="P15" s="85"/>
      <x:c r="Q15" s="37"/>
      <x:c r="R15" s="25"/>
      <x:c r="S15" s="37"/>
      <x:c r="T15" s="37"/>
      <x:c r="U15" s="37"/>
    </x:row>
    <x:row r="16" ht="15.949999809265137" customHeight="1">
      <x:c r="A16" s="75"/>
      <x:c r="B16" s="82"/>
      <x:c r="C16" s="82"/>
      <x:c r="D16" s="83"/>
      <x:c r="E16" s="83"/>
      <x:c r="F16" s="84" t="e">
        <x:f t="shared" ref="F16:F19" si="2">DAYS360(D16,E16)</x:f>
      </x:c>
      <x:c r="G16" s="224"/>
      <x:c r="H16" s="225"/>
      <x:c r="I16" s="225"/>
      <x:c r="J16" s="225"/>
      <x:c r="K16" s="225"/>
      <x:c r="L16" s="225"/>
      <x:c r="M16" s="225"/>
      <x:c r="N16" s="117"/>
      <x:c r="O16" s="85"/>
      <x:c r="P16" s="85"/>
      <x:c r="Q16" s="38"/>
      <x:c r="R16" s="38"/>
      <x:c r="S16" s="38"/>
      <x:c r="T16" s="38"/>
      <x:c r="U16" s="38"/>
    </x:row>
    <x:row r="17" ht="15.949999809265137" customHeight="1">
      <x:c r="A17" s="75"/>
      <x:c r="B17" s="82"/>
      <x:c r="C17" s="82"/>
      <x:c r="D17" s="83"/>
      <x:c r="E17" s="93"/>
      <x:c r="F17" s="84">
        <x:f t="shared" si="2"/>
        <x:v>0</x:v>
      </x:c>
      <x:c r="G17" s="224"/>
      <x:c r="H17" s="225"/>
      <x:c r="I17" s="225"/>
      <x:c r="J17" s="225"/>
      <x:c r="K17" s="225"/>
      <x:c r="L17" s="225"/>
      <x:c r="M17" s="225"/>
      <x:c r="N17" s="117"/>
      <x:c r="O17" s="85"/>
      <x:c r="P17" s="85"/>
      <x:c r="Q17" s="38"/>
      <x:c r="R17" s="38"/>
      <x:c r="S17" s="38"/>
      <x:c r="T17" s="38"/>
      <x:c r="U17" s="38"/>
    </x:row>
    <x:row r="18" ht="15.949999809265137" customHeight="1">
      <x:c r="A18" s="75"/>
      <x:c r="B18" s="82"/>
      <x:c r="C18" s="82"/>
      <x:c r="D18" s="83"/>
      <x:c r="E18" s="93"/>
      <x:c r="F18" s="84">
        <x:f t="shared" si="2"/>
        <x:v>0</x:v>
      </x:c>
      <x:c r="G18" s="224"/>
      <x:c r="H18" s="225"/>
      <x:c r="I18" s="225"/>
      <x:c r="J18" s="225"/>
      <x:c r="K18" s="225"/>
      <x:c r="L18" s="225"/>
      <x:c r="M18" s="225"/>
      <x:c r="N18" s="117"/>
      <x:c r="O18" s="85"/>
      <x:c r="P18" s="85"/>
      <x:c r="Q18" s="38"/>
      <x:c r="R18" s="38"/>
      <x:c r="S18" s="38"/>
      <x:c r="T18" s="38"/>
      <x:c r="U18" s="38"/>
    </x:row>
    <x:row r="19" ht="15.949999809265137" customHeight="1">
      <x:c r="A19" s="75"/>
      <x:c r="B19" s="82"/>
      <x:c r="C19" s="82"/>
      <x:c r="D19" s="83"/>
      <x:c r="E19" s="83"/>
      <x:c r="F19" s="84">
        <x:f t="shared" si="2"/>
        <x:v>0</x:v>
      </x:c>
      <x:c r="G19" s="224"/>
      <x:c r="H19" s="225"/>
      <x:c r="I19" s="225"/>
      <x:c r="J19" s="225"/>
      <x:c r="K19" s="225"/>
      <x:c r="L19" s="225"/>
      <x:c r="M19" s="225"/>
      <x:c r="N19" s="117"/>
      <x:c r="O19" s="85"/>
      <x:c r="P19" s="85"/>
      <x:c r="Q19" s="38"/>
      <x:c r="R19" s="38"/>
      <x:c r="S19" s="38"/>
      <x:c r="T19" s="38"/>
      <x:c r="U19" s="38"/>
    </x:row>
    <x:row r="20" ht="21" customHeight="1">
      <x:c r="A20" s="75"/>
      <x:c r="B20" s="43"/>
      <x:c r="C20" s="43"/>
      <x:c r="D20" s="44"/>
      <x:c r="E20" s="44"/>
      <x:c r="F20" s="36"/>
      <x:c r="G20" s="129"/>
      <x:c r="H20" s="119"/>
      <x:c r="I20" s="119"/>
      <x:c r="J20" s="119"/>
      <x:c r="K20" s="119"/>
      <x:c r="L20" s="119"/>
      <x:c r="M20" s="119"/>
      <x:c r="N20" s="131" t="n">
        <x:f>SUM(N15:N19)</x:f>
        <x:v>0</x:v>
      </x:c>
      <x:c r="O20" s="47"/>
      <x:c r="P20" s="47"/>
      <x:c r="Q20" s="38"/>
      <x:c r="R20" s="38"/>
      <x:c r="S20" s="38"/>
      <x:c r="T20" s="38"/>
      <x:c r="U20" s="38"/>
    </x:row>
    <x:row r="21" ht="21" customHeight="1">
      <x:c r="A21" s="75"/>
      <x:c r="B21" s="32"/>
      <x:c r="C21" s="32"/>
      <x:c r="D21" s="33"/>
      <x:c r="E21" s="33"/>
      <x:c r="F21" s="34"/>
      <x:c r="G21" s="226"/>
      <x:c r="H21" s="227"/>
      <x:c r="I21" s="227"/>
      <x:c r="J21" s="227"/>
      <x:c r="K21" s="227"/>
      <x:c r="L21" s="227"/>
      <x:c r="M21" s="227"/>
      <x:c r="N21" s="227"/>
      <x:c r="O21" s="32"/>
      <x:c r="P21" s="47"/>
      <x:c r="Q21" s="38"/>
      <x:c r="R21" s="38"/>
      <x:c r="S21" s="38"/>
      <x:c r="T21" s="38"/>
      <x:c r="U21" s="38"/>
    </x:row>
    <x:row r="22" ht="26.25">
      <x:c r="A22" s="105">
        <x:v>3</x:v>
      </x:c>
      <x:c r="B22" s="221" t="s">
        <x:v>29</x:v>
      </x:c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49"/>
      <x:c r="Q22" s="38"/>
      <x:c r="R22" s="38"/>
      <x:c r="S22" s="38"/>
      <x:c r="T22" s="38"/>
      <x:c r="U22" s="38"/>
    </x:row>
    <x:row r="23" ht="15.949999809265137" customHeight="1">
      <x:c r="A23" s="75"/>
      <x:c r="B23" s="26" t="s">
        <x:v>23</x:v>
      </x:c>
      <x:c r="C23" s="26" t="s">
        <x:v>20</x:v>
      </x:c>
      <x:c r="D23" s="28">
        <x:v>46140</x:v>
      </x:c>
      <x:c r="E23" s="28">
        <x:v>46141</x:v>
      </x:c>
      <x:c r="F23" s="84" t="n">
        <x:f>DAYS360(D23,E23)</x:f>
        <x:v>1</x:v>
      </x:c>
      <x:c r="G23" s="224"/>
      <x:c r="H23" s="225"/>
      <x:c r="I23" s="225"/>
      <x:c r="J23" s="225"/>
      <x:c r="K23" s="225"/>
      <x:c r="L23" s="225"/>
      <x:c r="M23" s="225"/>
      <x:c r="N23" s="117"/>
      <x:c r="O23" s="85"/>
      <x:c r="P23" s="85"/>
      <x:c r="Q23" s="38"/>
      <x:c r="R23" s="38"/>
      <x:c r="S23" s="38"/>
      <x:c r="T23" s="38"/>
      <x:c r="U23" s="38"/>
    </x:row>
    <x:row r="24" ht="15.949999809265137" customHeight="1">
      <x:c r="A24" s="75"/>
      <x:c r="B24" s="82"/>
      <x:c r="C24" s="82"/>
      <x:c r="D24" s="83"/>
      <x:c r="E24" s="83"/>
      <x:c r="F24" s="84" t="e">
        <x:f t="shared" ref="F24:F27" si="3">DAYS360(D24,E24)</x:f>
      </x:c>
      <x:c r="G24" s="224"/>
      <x:c r="H24" s="225"/>
      <x:c r="I24" s="225"/>
      <x:c r="J24" s="225"/>
      <x:c r="K24" s="225"/>
      <x:c r="L24" s="225"/>
      <x:c r="M24" s="225"/>
      <x:c r="N24" s="117"/>
      <x:c r="O24" s="85"/>
      <x:c r="P24" s="85"/>
      <x:c r="Q24" s="38"/>
      <x:c r="R24" s="38"/>
      <x:c r="S24" s="38"/>
      <x:c r="T24" s="38"/>
      <x:c r="U24" s="38"/>
    </x:row>
    <x:row r="25" ht="15.949999809265137" customHeight="1">
      <x:c r="A25" s="75"/>
      <x:c r="B25" s="82"/>
      <x:c r="C25" s="82"/>
      <x:c r="D25" s="83"/>
      <x:c r="E25" s="93"/>
      <x:c r="F25" s="84">
        <x:f t="shared" si="3"/>
        <x:v>0</x:v>
      </x:c>
      <x:c r="G25" s="224"/>
      <x:c r="H25" s="225"/>
      <x:c r="I25" s="225"/>
      <x:c r="J25" s="225"/>
      <x:c r="K25" s="225"/>
      <x:c r="L25" s="225"/>
      <x:c r="M25" s="225"/>
      <x:c r="N25" s="117"/>
      <x:c r="O25" s="85"/>
      <x:c r="P25" s="85"/>
      <x:c r="Q25" s="106"/>
      <x:c r="R25" s="106"/>
      <x:c r="S25" s="106"/>
      <x:c r="T25" s="106"/>
      <x:c r="U25" s="106"/>
    </x:row>
    <x:row r="26" ht="15.949999809265137" customHeight="1">
      <x:c r="A26" s="75"/>
      <x:c r="B26" s="82"/>
      <x:c r="C26" s="82"/>
      <x:c r="D26" s="83"/>
      <x:c r="E26" s="93"/>
      <x:c r="F26" s="84">
        <x:f t="shared" si="3"/>
        <x:v>0</x:v>
      </x:c>
      <x:c r="G26" s="224"/>
      <x:c r="H26" s="225"/>
      <x:c r="I26" s="225"/>
      <x:c r="J26" s="225"/>
      <x:c r="K26" s="225"/>
      <x:c r="L26" s="225"/>
      <x:c r="M26" s="225"/>
      <x:c r="N26" s="117"/>
      <x:c r="O26" s="85"/>
      <x:c r="P26" s="85"/>
      <x:c r="Q26" s="38"/>
      <x:c r="R26" s="38"/>
      <x:c r="S26" s="38"/>
      <x:c r="T26" s="38"/>
      <x:c r="U26" s="38"/>
    </x:row>
    <x:row r="27" ht="15.949999809265137" customHeight="1">
      <x:c r="A27" s="75"/>
      <x:c r="B27" s="82"/>
      <x:c r="C27" s="82"/>
      <x:c r="D27" s="83"/>
      <x:c r="E27" s="83"/>
      <x:c r="F27" s="84">
        <x:f t="shared" si="3"/>
        <x:v>0</x:v>
      </x:c>
      <x:c r="G27" s="224"/>
      <x:c r="H27" s="225"/>
      <x:c r="I27" s="225"/>
      <x:c r="J27" s="225"/>
      <x:c r="K27" s="225"/>
      <x:c r="L27" s="225"/>
      <x:c r="M27" s="225"/>
      <x:c r="N27" s="117"/>
      <x:c r="O27" s="85"/>
      <x:c r="P27" s="85"/>
      <x:c r="Q27" s="38"/>
      <x:c r="R27" s="38"/>
      <x:c r="S27" s="38"/>
      <x:c r="T27" s="38"/>
      <x:c r="U27" s="38"/>
    </x:row>
    <x:row r="28" ht="21" customHeight="1">
      <x:c r="N28" s="131" t="n">
        <x:f>SUM(N23:N27)</x:f>
        <x:v>0</x:v>
      </x:c>
      <x:c r="O28" s="36"/>
    </x:row>
    <x:row r="29" ht="21" customHeight="1">
      <x:c r="O29" s="36"/>
    </x:row>
    <x:row r="30" ht="26.100000381469727" customHeight="1">
      <x:c r="A30" s="105">
        <x:v>4</x:v>
      </x:c>
      <x:c r="B30" s="221" t="s">
        <x:v>30</x:v>
      </x:c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49"/>
    </x:row>
    <x:row r="31" ht="15.75" customHeight="1">
      <x:c r="A31" s="75"/>
      <x:c r="B31" s="26" t="s">
        <x:v>23</x:v>
      </x:c>
      <x:c r="C31" s="26" t="s">
        <x:v>20</x:v>
      </x:c>
      <x:c r="D31" s="28">
        <x:v>46140</x:v>
      </x:c>
      <x:c r="E31" s="28">
        <x:v>46141</x:v>
      </x:c>
      <x:c r="F31" s="84" t="n">
        <x:f>DAYS360(D31,E31)</x:f>
        <x:v>1</x:v>
      </x:c>
      <x:c r="G31" s="224"/>
      <x:c r="H31" s="225"/>
      <x:c r="I31" s="225"/>
      <x:c r="J31" s="225"/>
      <x:c r="K31" s="225"/>
      <x:c r="L31" s="225"/>
      <x:c r="M31" s="225"/>
      <x:c r="N31" s="117"/>
      <x:c r="O31" s="85"/>
      <x:c r="P31" s="85"/>
    </x:row>
    <x:row r="32" ht="15.75" customHeight="1">
      <x:c r="A32" s="75"/>
      <x:c r="B32" s="82"/>
      <x:c r="C32" s="82"/>
      <x:c r="D32" s="83"/>
      <x:c r="E32" s="83"/>
      <x:c r="F32" s="84" t="e">
        <x:f t="shared" ref="F32:F35" si="4">DAYS360(D32,E32)</x:f>
      </x:c>
      <x:c r="G32" s="224"/>
      <x:c r="H32" s="225"/>
      <x:c r="I32" s="225"/>
      <x:c r="J32" s="225"/>
      <x:c r="K32" s="225"/>
      <x:c r="L32" s="225"/>
      <x:c r="M32" s="225"/>
      <x:c r="N32" s="117"/>
      <x:c r="O32" s="85"/>
      <x:c r="P32" s="85"/>
    </x:row>
    <x:row r="33" ht="15.75" customHeight="1">
      <x:c r="A33" s="75"/>
      <x:c r="B33" s="82"/>
      <x:c r="C33" s="82"/>
      <x:c r="D33" s="83"/>
      <x:c r="E33" s="93"/>
      <x:c r="F33" s="84">
        <x:f t="shared" si="4"/>
        <x:v>0</x:v>
      </x:c>
      <x:c r="G33" s="224"/>
      <x:c r="H33" s="225"/>
      <x:c r="I33" s="225"/>
      <x:c r="J33" s="225"/>
      <x:c r="K33" s="225"/>
      <x:c r="L33" s="225"/>
      <x:c r="M33" s="225"/>
      <x:c r="N33" s="117"/>
      <x:c r="O33" s="85"/>
      <x:c r="P33" s="85"/>
    </x:row>
    <x:row r="34" ht="15.75" customHeight="1">
      <x:c r="A34" s="75"/>
      <x:c r="B34" s="82"/>
      <x:c r="C34" s="82"/>
      <x:c r="D34" s="83"/>
      <x:c r="E34" s="93"/>
      <x:c r="F34" s="84">
        <x:f t="shared" si="4"/>
        <x:v>0</x:v>
      </x:c>
      <x:c r="G34" s="224"/>
      <x:c r="H34" s="225"/>
      <x:c r="I34" s="225"/>
      <x:c r="J34" s="225"/>
      <x:c r="K34" s="225"/>
      <x:c r="L34" s="225"/>
      <x:c r="M34" s="225"/>
      <x:c r="N34" s="117"/>
      <x:c r="O34" s="85"/>
      <x:c r="P34" s="85"/>
    </x:row>
    <x:row r="35" ht="15.75" customHeight="1">
      <x:c r="A35" s="75"/>
      <x:c r="B35" s="82"/>
      <x:c r="C35" s="82"/>
      <x:c r="D35" s="83"/>
      <x:c r="E35" s="83"/>
      <x:c r="F35" s="84">
        <x:f t="shared" si="4"/>
        <x:v>0</x:v>
      </x:c>
      <x:c r="G35" s="224"/>
      <x:c r="H35" s="225"/>
      <x:c r="I35" s="225"/>
      <x:c r="J35" s="225"/>
      <x:c r="K35" s="225"/>
      <x:c r="L35" s="225"/>
      <x:c r="M35" s="225"/>
      <x:c r="N35" s="117"/>
      <x:c r="O35" s="85"/>
      <x:c r="P35" s="85"/>
    </x:row>
    <x:row r="36" ht="15.75" customHeight="1">
      <x:c r="N36" s="131" t="n">
        <x:f>SUM(N31:N35)</x:f>
        <x:v>0</x:v>
      </x:c>
      <x:c r="O36" s="36"/>
    </x:row>
    <x:row r="37" ht="15.75" customHeight="1">
      <x:c r="O37" s="36"/>
    </x:row>
    <x:row r="38" ht="26.100000381469727" customHeight="1">
      <x:c r="A38" s="105">
        <x:v>5</x:v>
      </x:c>
      <x:c r="B38" s="221" t="s">
        <x:v>31</x:v>
      </x:c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49"/>
    </x:row>
    <x:row r="39" ht="15.75" customHeight="1">
      <x:c r="A39" s="75"/>
      <x:c r="B39" s="26" t="s">
        <x:v>23</x:v>
      </x:c>
      <x:c r="C39" s="26" t="s">
        <x:v>20</x:v>
      </x:c>
      <x:c r="D39" s="28">
        <x:v>46140</x:v>
      </x:c>
      <x:c r="E39" s="28">
        <x:v>46141</x:v>
      </x:c>
      <x:c r="F39" s="84" t="n">
        <x:f>DAYS360(D39,E39)</x:f>
        <x:v>1</x:v>
      </x:c>
      <x:c r="G39" s="224"/>
      <x:c r="H39" s="225"/>
      <x:c r="I39" s="225"/>
      <x:c r="J39" s="225"/>
      <x:c r="K39" s="225"/>
      <x:c r="L39" s="225"/>
      <x:c r="M39" s="225"/>
      <x:c r="N39" s="117"/>
      <x:c r="O39" s="85"/>
      <x:c r="P39" s="85"/>
    </x:row>
    <x:row r="40" ht="15.75" customHeight="1">
      <x:c r="A40" s="75"/>
      <x:c r="B40" s="82"/>
      <x:c r="C40" s="82"/>
      <x:c r="D40" s="83"/>
      <x:c r="E40" s="83"/>
      <x:c r="F40" s="84" t="e">
        <x:f t="shared" ref="F40:F43" si="5">DAYS360(D40,E40)</x:f>
      </x:c>
      <x:c r="G40" s="224"/>
      <x:c r="H40" s="225"/>
      <x:c r="I40" s="225"/>
      <x:c r="J40" s="225"/>
      <x:c r="K40" s="225"/>
      <x:c r="L40" s="225"/>
      <x:c r="M40" s="225"/>
      <x:c r="N40" s="117"/>
      <x:c r="O40" s="85"/>
      <x:c r="P40" s="85"/>
    </x:row>
    <x:row r="41" ht="15.75" customHeight="1">
      <x:c r="A41" s="75"/>
      <x:c r="B41" s="82"/>
      <x:c r="C41" s="82"/>
      <x:c r="D41" s="83"/>
      <x:c r="E41" s="93"/>
      <x:c r="F41" s="84">
        <x:f t="shared" si="5"/>
        <x:v>0</x:v>
      </x:c>
      <x:c r="G41" s="224"/>
      <x:c r="H41" s="225"/>
      <x:c r="I41" s="225"/>
      <x:c r="J41" s="225"/>
      <x:c r="K41" s="225"/>
      <x:c r="L41" s="225"/>
      <x:c r="M41" s="225"/>
      <x:c r="N41" s="117"/>
      <x:c r="O41" s="85"/>
      <x:c r="P41" s="85"/>
    </x:row>
    <x:row r="42" ht="15.75" customHeight="1">
      <x:c r="A42" s="75"/>
      <x:c r="B42" s="82"/>
      <x:c r="C42" s="82"/>
      <x:c r="D42" s="83"/>
      <x:c r="E42" s="93"/>
      <x:c r="F42" s="84">
        <x:f t="shared" si="5"/>
        <x:v>0</x:v>
      </x:c>
      <x:c r="G42" s="224"/>
      <x:c r="H42" s="225"/>
      <x:c r="I42" s="225"/>
      <x:c r="J42" s="225"/>
      <x:c r="K42" s="225"/>
      <x:c r="L42" s="225"/>
      <x:c r="M42" s="225"/>
      <x:c r="N42" s="117"/>
      <x:c r="O42" s="85"/>
      <x:c r="P42" s="85"/>
    </x:row>
    <x:row r="43" ht="15.75" customHeight="1">
      <x:c r="A43" s="75"/>
      <x:c r="B43" s="82"/>
      <x:c r="C43" s="82"/>
      <x:c r="D43" s="83"/>
      <x:c r="E43" s="83"/>
      <x:c r="F43" s="84">
        <x:f t="shared" si="5"/>
        <x:v>0</x:v>
      </x:c>
      <x:c r="G43" s="224"/>
      <x:c r="H43" s="225"/>
      <x:c r="I43" s="225"/>
      <x:c r="J43" s="225"/>
      <x:c r="K43" s="225"/>
      <x:c r="L43" s="225"/>
      <x:c r="M43" s="225"/>
      <x:c r="N43" s="117"/>
      <x:c r="O43" s="85"/>
      <x:c r="P43" s="85"/>
    </x:row>
    <x:row r="44" ht="15.75" customHeight="1">
      <x:c r="N44" s="131" t="n">
        <x:f>SUM(N39:N43)</x:f>
        <x:v>0</x:v>
      </x:c>
      <x:c r="O44" s="36"/>
    </x:row>
    <x:row r="45" ht="15.75" customHeight="1">
      <x:c r="O45" s="36"/>
    </x:row>
    <x:row r="46" ht="26.100000381469727" customHeight="1">
      <x:c r="A46" s="105">
        <x:v>6</x:v>
      </x:c>
      <x:c r="B46" s="221" t="s">
        <x:v>32</x:v>
      </x:c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49"/>
    </x:row>
    <x:row r="47" ht="15.75" customHeight="1">
      <x:c r="A47" s="75"/>
      <x:c r="B47" s="26" t="s">
        <x:v>23</x:v>
      </x:c>
      <x:c r="C47" s="26" t="s">
        <x:v>20</x:v>
      </x:c>
      <x:c r="D47" s="28">
        <x:v>46140</x:v>
      </x:c>
      <x:c r="E47" s="28">
        <x:v>46141</x:v>
      </x:c>
      <x:c r="F47" s="84" t="n">
        <x:f>DAYS360(D47,E47)</x:f>
        <x:v>1</x:v>
      </x:c>
      <x:c r="G47" s="224"/>
      <x:c r="H47" s="225"/>
      <x:c r="I47" s="225"/>
      <x:c r="J47" s="225"/>
      <x:c r="K47" s="225"/>
      <x:c r="L47" s="225"/>
      <x:c r="M47" s="225"/>
      <x:c r="N47" s="117"/>
      <x:c r="O47" s="85"/>
      <x:c r="P47" s="85"/>
    </x:row>
    <x:row r="48" ht="15.75" customHeight="1">
      <x:c r="A48" s="75"/>
      <x:c r="B48" s="82"/>
      <x:c r="C48" s="82"/>
      <x:c r="D48" s="83"/>
      <x:c r="E48" s="83"/>
      <x:c r="F48" s="84" t="e">
        <x:f t="shared" ref="F48:F51" si="6">DAYS360(D48,E48)</x:f>
      </x:c>
      <x:c r="G48" s="224"/>
      <x:c r="H48" s="225"/>
      <x:c r="I48" s="225"/>
      <x:c r="J48" s="225"/>
      <x:c r="K48" s="225"/>
      <x:c r="L48" s="225"/>
      <x:c r="M48" s="225"/>
      <x:c r="N48" s="117"/>
      <x:c r="O48" s="85"/>
      <x:c r="P48" s="85"/>
    </x:row>
    <x:row r="49" ht="15.75" customHeight="1">
      <x:c r="A49" s="75"/>
      <x:c r="B49" s="82"/>
      <x:c r="C49" s="82"/>
      <x:c r="D49" s="83"/>
      <x:c r="E49" s="93"/>
      <x:c r="F49" s="84">
        <x:f t="shared" si="6"/>
        <x:v>0</x:v>
      </x:c>
      <x:c r="G49" s="224"/>
      <x:c r="H49" s="225"/>
      <x:c r="I49" s="225"/>
      <x:c r="J49" s="225"/>
      <x:c r="K49" s="225"/>
      <x:c r="L49" s="225"/>
      <x:c r="M49" s="225"/>
      <x:c r="N49" s="117"/>
      <x:c r="O49" s="85"/>
      <x:c r="P49" s="85"/>
    </x:row>
    <x:row r="50" ht="15.75" customHeight="1">
      <x:c r="A50" s="75"/>
      <x:c r="B50" s="82"/>
      <x:c r="C50" s="82"/>
      <x:c r="D50" s="83"/>
      <x:c r="E50" s="93"/>
      <x:c r="F50" s="84">
        <x:f t="shared" si="6"/>
        <x:v>0</x:v>
      </x:c>
      <x:c r="G50" s="224"/>
      <x:c r="H50" s="225"/>
      <x:c r="I50" s="225"/>
      <x:c r="J50" s="225"/>
      <x:c r="K50" s="225"/>
      <x:c r="L50" s="225"/>
      <x:c r="M50" s="225"/>
      <x:c r="N50" s="117"/>
      <x:c r="O50" s="85"/>
      <x:c r="P50" s="85"/>
    </x:row>
    <x:row r="51" ht="15.75" customHeight="1">
      <x:c r="A51" s="75"/>
      <x:c r="B51" s="82"/>
      <x:c r="C51" s="82"/>
      <x:c r="D51" s="83"/>
      <x:c r="E51" s="83"/>
      <x:c r="F51" s="84">
        <x:f t="shared" si="6"/>
        <x:v>0</x:v>
      </x:c>
      <x:c r="G51" s="224"/>
      <x:c r="H51" s="225"/>
      <x:c r="I51" s="225"/>
      <x:c r="J51" s="225"/>
      <x:c r="K51" s="225"/>
      <x:c r="L51" s="225"/>
      <x:c r="M51" s="225"/>
      <x:c r="N51" s="117"/>
      <x:c r="O51" s="85"/>
      <x:c r="P51" s="85"/>
    </x:row>
    <x:row r="52" ht="15.75" customHeight="1">
      <x:c r="N52" s="131" t="n">
        <x:f>SUM(N47:N51)</x:f>
        <x:v>0</x:v>
      </x:c>
      <x:c r="O52" s="36"/>
    </x:row>
    <x:row r="53" ht="15.75" customHeight="1">
      <x:c r="O53" s="36"/>
    </x:row>
    <x:row r="54" ht="26.100000381469727" customHeight="1">
      <x:c r="A54" s="105">
        <x:v>7</x:v>
      </x:c>
      <x:c r="B54" s="221" t="s">
        <x:v>33</x:v>
      </x:c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49"/>
    </x:row>
    <x:row r="55" ht="15.75" customHeight="1">
      <x:c r="A55" s="75"/>
      <x:c r="B55" s="26" t="s">
        <x:v>23</x:v>
      </x:c>
      <x:c r="C55" s="26" t="s">
        <x:v>20</x:v>
      </x:c>
      <x:c r="D55" s="28">
        <x:v>46140</x:v>
      </x:c>
      <x:c r="E55" s="28">
        <x:v>46141</x:v>
      </x:c>
      <x:c r="F55" s="84" t="n">
        <x:f>DAYS360(D55,E55)</x:f>
        <x:v>1</x:v>
      </x:c>
      <x:c r="G55" s="224"/>
      <x:c r="H55" s="225"/>
      <x:c r="I55" s="225"/>
      <x:c r="J55" s="225"/>
      <x:c r="K55" s="225"/>
      <x:c r="L55" s="225"/>
      <x:c r="M55" s="225"/>
      <x:c r="N55" s="117"/>
      <x:c r="O55" s="85"/>
      <x:c r="P55" s="85"/>
    </x:row>
    <x:row r="56" ht="15.75" customHeight="1">
      <x:c r="A56" s="75"/>
      <x:c r="B56" s="82"/>
      <x:c r="C56" s="82"/>
      <x:c r="D56" s="83"/>
      <x:c r="E56" s="83"/>
      <x:c r="F56" s="84" t="e">
        <x:f t="shared" ref="F56:F59" si="7">DAYS360(D56,E56)</x:f>
      </x:c>
      <x:c r="G56" s="224"/>
      <x:c r="H56" s="225"/>
      <x:c r="I56" s="225"/>
      <x:c r="J56" s="225"/>
      <x:c r="K56" s="225"/>
      <x:c r="L56" s="225"/>
      <x:c r="M56" s="225"/>
      <x:c r="N56" s="117"/>
      <x:c r="O56" s="85"/>
      <x:c r="P56" s="85"/>
    </x:row>
    <x:row r="57" ht="15.75" customHeight="1">
      <x:c r="A57" s="75"/>
      <x:c r="B57" s="82"/>
      <x:c r="C57" s="82"/>
      <x:c r="D57" s="83"/>
      <x:c r="E57" s="93"/>
      <x:c r="F57" s="84">
        <x:f t="shared" si="7"/>
        <x:v>0</x:v>
      </x:c>
      <x:c r="G57" s="224"/>
      <x:c r="H57" s="225"/>
      <x:c r="I57" s="225"/>
      <x:c r="J57" s="225"/>
      <x:c r="K57" s="225"/>
      <x:c r="L57" s="225"/>
      <x:c r="M57" s="225"/>
      <x:c r="N57" s="117"/>
      <x:c r="O57" s="85"/>
      <x:c r="P57" s="85"/>
    </x:row>
    <x:row r="58" ht="15.75" customHeight="1">
      <x:c r="A58" s="75"/>
      <x:c r="B58" s="82"/>
      <x:c r="C58" s="82"/>
      <x:c r="D58" s="83"/>
      <x:c r="E58" s="93"/>
      <x:c r="F58" s="84">
        <x:f t="shared" si="7"/>
        <x:v>0</x:v>
      </x:c>
      <x:c r="G58" s="224"/>
      <x:c r="H58" s="225"/>
      <x:c r="I58" s="225"/>
      <x:c r="J58" s="225"/>
      <x:c r="K58" s="225"/>
      <x:c r="L58" s="225"/>
      <x:c r="M58" s="225"/>
      <x:c r="N58" s="117"/>
      <x:c r="O58" s="85"/>
      <x:c r="P58" s="85"/>
    </x:row>
    <x:row r="59" ht="15.75" customHeight="1">
      <x:c r="A59" s="75"/>
      <x:c r="B59" s="82"/>
      <x:c r="C59" s="82"/>
      <x:c r="D59" s="83"/>
      <x:c r="E59" s="83"/>
      <x:c r="F59" s="84">
        <x:f t="shared" si="7"/>
        <x:v>0</x:v>
      </x:c>
      <x:c r="G59" s="224"/>
      <x:c r="H59" s="225"/>
      <x:c r="I59" s="225"/>
      <x:c r="J59" s="225"/>
      <x:c r="K59" s="225"/>
      <x:c r="L59" s="225"/>
      <x:c r="M59" s="225"/>
      <x:c r="N59" s="117"/>
      <x:c r="O59" s="85"/>
      <x:c r="P59" s="85"/>
    </x:row>
    <x:row r="60" ht="15.75" customHeight="1">
      <x:c r="N60" s="131" t="n">
        <x:f>SUM(N55:N59)</x:f>
        <x:v>0</x:v>
      </x:c>
      <x:c r="O60" s="36"/>
    </x:row>
    <x:row r="61" ht="15.75" customHeight="1">
      <x:c r="O61" s="36"/>
    </x:row>
    <x:row r="62" ht="26.100000381469727" customHeight="1">
      <x:c r="A62" s="105">
        <x:v>8</x:v>
      </x:c>
      <x:c r="B62" s="221" t="s">
        <x:v>34</x:v>
      </x:c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  <x:c r="P62" s="49"/>
    </x:row>
    <x:row r="63" ht="15.75" customHeight="1">
      <x:c r="A63" s="75"/>
      <x:c r="B63" s="26" t="s">
        <x:v>23</x:v>
      </x:c>
      <x:c r="C63" s="26" t="s">
        <x:v>20</x:v>
      </x:c>
      <x:c r="D63" s="28">
        <x:v>46140</x:v>
      </x:c>
      <x:c r="E63" s="28">
        <x:v>46141</x:v>
      </x:c>
      <x:c r="F63" s="84" t="n">
        <x:f>DAYS360(D63,E63)</x:f>
        <x:v>1</x:v>
      </x:c>
      <x:c r="G63" s="224"/>
      <x:c r="H63" s="225"/>
      <x:c r="I63" s="225"/>
      <x:c r="J63" s="225"/>
      <x:c r="K63" s="225"/>
      <x:c r="L63" s="225"/>
      <x:c r="M63" s="225"/>
      <x:c r="N63" s="117"/>
      <x:c r="O63" s="85"/>
      <x:c r="P63" s="85"/>
    </x:row>
    <x:row r="64" ht="15.75" customHeight="1">
      <x:c r="A64" s="75"/>
      <x:c r="B64" s="82"/>
      <x:c r="C64" s="82"/>
      <x:c r="D64" s="83"/>
      <x:c r="E64" s="83"/>
      <x:c r="F64" s="84" t="e">
        <x:f t="shared" ref="F64:F67" si="8">DAYS360(D64,E64)</x:f>
      </x:c>
      <x:c r="G64" s="224"/>
      <x:c r="H64" s="225"/>
      <x:c r="I64" s="225"/>
      <x:c r="J64" s="225"/>
      <x:c r="K64" s="225"/>
      <x:c r="L64" s="225"/>
      <x:c r="M64" s="225"/>
      <x:c r="N64" s="117"/>
      <x:c r="O64" s="85"/>
      <x:c r="P64" s="85"/>
    </x:row>
    <x:row r="65" ht="15.75" customHeight="1">
      <x:c r="A65" s="75"/>
      <x:c r="B65" s="82"/>
      <x:c r="C65" s="82"/>
      <x:c r="D65" s="83"/>
      <x:c r="E65" s="93"/>
      <x:c r="F65" s="84">
        <x:f t="shared" si="8"/>
        <x:v>0</x:v>
      </x:c>
      <x:c r="G65" s="224"/>
      <x:c r="H65" s="225"/>
      <x:c r="I65" s="225"/>
      <x:c r="J65" s="225"/>
      <x:c r="K65" s="225"/>
      <x:c r="L65" s="225"/>
      <x:c r="M65" s="225"/>
      <x:c r="N65" s="117"/>
      <x:c r="O65" s="85"/>
      <x:c r="P65" s="85"/>
    </x:row>
    <x:row r="66" ht="15.75" customHeight="1">
      <x:c r="A66" s="75"/>
      <x:c r="B66" s="82"/>
      <x:c r="C66" s="82"/>
      <x:c r="D66" s="83"/>
      <x:c r="E66" s="93"/>
      <x:c r="F66" s="84">
        <x:f t="shared" si="8"/>
        <x:v>0</x:v>
      </x:c>
      <x:c r="G66" s="224"/>
      <x:c r="H66" s="225"/>
      <x:c r="I66" s="225"/>
      <x:c r="J66" s="225"/>
      <x:c r="K66" s="225"/>
      <x:c r="L66" s="225"/>
      <x:c r="M66" s="225"/>
      <x:c r="N66" s="117"/>
      <x:c r="O66" s="85"/>
      <x:c r="P66" s="85"/>
    </x:row>
    <x:row r="67" ht="15.75" customHeight="1">
      <x:c r="A67" s="75"/>
      <x:c r="B67" s="82"/>
      <x:c r="C67" s="82"/>
      <x:c r="D67" s="83"/>
      <x:c r="E67" s="83"/>
      <x:c r="F67" s="84">
        <x:f t="shared" si="8"/>
        <x:v>0</x:v>
      </x:c>
      <x:c r="G67" s="224"/>
      <x:c r="H67" s="225"/>
      <x:c r="I67" s="225"/>
      <x:c r="J67" s="225"/>
      <x:c r="K67" s="225"/>
      <x:c r="L67" s="225"/>
      <x:c r="M67" s="225"/>
      <x:c r="N67" s="117"/>
      <x:c r="O67" s="85"/>
      <x:c r="P67" s="85"/>
    </x:row>
    <x:row r="68" ht="15.75" customHeight="1">
      <x:c r="N68" s="131" t="n">
        <x:f>SUM(N63:N67)</x:f>
        <x:v>0</x:v>
      </x:c>
      <x:c r="O68" s="36"/>
    </x:row>
    <x:row r="69" ht="15.75" customHeight="1">
      <x:c r="O69" s="36"/>
    </x:row>
    <x:row r="70" ht="26.100000381469727" customHeight="1">
      <x:c r="A70" s="105">
        <x:v>9</x:v>
      </x:c>
      <x:c r="B70" s="221" t="s">
        <x:v>35</x:v>
      </x:c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49"/>
    </x:row>
    <x:row r="71" ht="15.75" customHeight="1">
      <x:c r="A71" s="75"/>
      <x:c r="B71" s="26" t="s">
        <x:v>23</x:v>
      </x:c>
      <x:c r="C71" s="26" t="s">
        <x:v>20</x:v>
      </x:c>
      <x:c r="D71" s="28">
        <x:v>46140</x:v>
      </x:c>
      <x:c r="E71" s="28">
        <x:v>46141</x:v>
      </x:c>
      <x:c r="F71" s="84" t="n">
        <x:f>DAYS360(D71,E71)</x:f>
        <x:v>1</x:v>
      </x:c>
      <x:c r="G71" s="224" t="s">
        <x:v>36</x:v>
      </x:c>
      <x:c r="H71" s="225"/>
      <x:c r="I71" s="225"/>
      <x:c r="J71" s="225"/>
      <x:c r="K71" s="225"/>
      <x:c r="L71" s="225"/>
      <x:c r="M71" s="225"/>
      <x:c r="N71" s="117">
        <x:v>385000</x:v>
      </x:c>
      <x:c r="O71" s="85"/>
      <x:c r="P71" s="85"/>
    </x:row>
    <x:row r="72" ht="15.75" customHeight="1">
      <x:c r="A72" s="75"/>
      <x:c r="B72" s="82"/>
      <x:c r="C72" s="82"/>
      <x:c r="D72" s="83"/>
      <x:c r="E72" s="83"/>
      <x:c r="F72" s="84" t="e">
        <x:f t="shared" ref="F72:F75" si="9">DAYS360(D72,E72)</x:f>
      </x:c>
      <x:c r="G72" s="224"/>
      <x:c r="H72" s="225"/>
      <x:c r="I72" s="225"/>
      <x:c r="J72" s="225"/>
      <x:c r="K72" s="225"/>
      <x:c r="L72" s="225"/>
      <x:c r="M72" s="225"/>
      <x:c r="N72" s="117"/>
      <x:c r="O72" s="85"/>
      <x:c r="P72" s="85"/>
    </x:row>
    <x:row r="73" ht="15.75" customHeight="1">
      <x:c r="A73" s="75"/>
      <x:c r="B73" s="82"/>
      <x:c r="C73" s="82"/>
      <x:c r="D73" s="83"/>
      <x:c r="E73" s="93"/>
      <x:c r="F73" s="84">
        <x:f t="shared" si="9"/>
        <x:v>0</x:v>
      </x:c>
      <x:c r="G73" s="224"/>
      <x:c r="H73" s="225"/>
      <x:c r="I73" s="225"/>
      <x:c r="J73" s="225"/>
      <x:c r="K73" s="225"/>
      <x:c r="L73" s="225"/>
      <x:c r="M73" s="225"/>
      <x:c r="N73" s="117"/>
      <x:c r="O73" s="85"/>
      <x:c r="P73" s="85"/>
    </x:row>
    <x:row r="74" ht="15.75" customHeight="1">
      <x:c r="A74" s="75"/>
      <x:c r="B74" s="82"/>
      <x:c r="C74" s="82"/>
      <x:c r="D74" s="83"/>
      <x:c r="E74" s="93"/>
      <x:c r="F74" s="84">
        <x:f t="shared" si="9"/>
        <x:v>0</x:v>
      </x:c>
      <x:c r="G74" s="224"/>
      <x:c r="H74" s="225"/>
      <x:c r="I74" s="225"/>
      <x:c r="J74" s="225"/>
      <x:c r="K74" s="225"/>
      <x:c r="L74" s="225"/>
      <x:c r="M74" s="225"/>
      <x:c r="N74" s="117"/>
      <x:c r="O74" s="85"/>
      <x:c r="P74" s="85"/>
    </x:row>
    <x:row r="75" ht="15.75" customHeight="1">
      <x:c r="A75" s="75"/>
      <x:c r="B75" s="82"/>
      <x:c r="C75" s="82"/>
      <x:c r="D75" s="83"/>
      <x:c r="E75" s="83"/>
      <x:c r="F75" s="84">
        <x:f t="shared" si="9"/>
        <x:v>0</x:v>
      </x:c>
      <x:c r="G75" s="224"/>
      <x:c r="H75" s="225"/>
      <x:c r="I75" s="225"/>
      <x:c r="J75" s="225"/>
      <x:c r="K75" s="225"/>
      <x:c r="L75" s="225"/>
      <x:c r="M75" s="225"/>
      <x:c r="N75" s="117"/>
      <x:c r="O75" s="85"/>
      <x:c r="P75" s="85"/>
    </x:row>
    <x:row r="76" ht="15.75" customHeight="1">
      <x:c r="N76" s="131" t="n">
        <x:f>SUM(N71:N75)</x:f>
        <x:v>385000</x:v>
      </x:c>
      <x:c r="O76" s="36"/>
    </x:row>
    <x:row r="77" ht="15.75" customHeight="1">
      <x:c r="O77" s="36"/>
    </x:row>
    <x:row r="78" ht="26.100000381469727" customHeight="1">
      <x:c r="A78" s="105">
        <x:v>10</x:v>
      </x:c>
      <x:c r="B78" s="221" t="s">
        <x:v>37</x:v>
      </x:c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49"/>
    </x:row>
    <x:row r="79" ht="15.75" customHeight="1">
      <x:c r="A79" s="75"/>
      <x:c r="B79" s="26" t="s">
        <x:v>23</x:v>
      </x:c>
      <x:c r="C79" s="26" t="s">
        <x:v>20</x:v>
      </x:c>
      <x:c r="D79" s="28">
        <x:v>46140</x:v>
      </x:c>
      <x:c r="E79" s="28">
        <x:v>46141</x:v>
      </x:c>
      <x:c r="F79" s="84" t="n">
        <x:f>DAYS360(D79,E79)</x:f>
        <x:v>1</x:v>
      </x:c>
      <x:c r="G79" s="224"/>
      <x:c r="H79" s="225"/>
      <x:c r="I79" s="225"/>
      <x:c r="J79" s="225"/>
      <x:c r="K79" s="225"/>
      <x:c r="L79" s="225"/>
      <x:c r="M79" s="225"/>
      <x:c r="N79" s="117"/>
      <x:c r="O79" s="85"/>
      <x:c r="P79" s="85"/>
    </x:row>
    <x:row r="80" ht="15.75" customHeight="1">
      <x:c r="A80" s="75"/>
      <x:c r="B80" s="82"/>
      <x:c r="C80" s="82"/>
      <x:c r="D80" s="83"/>
      <x:c r="E80" s="83"/>
      <x:c r="F80" s="84" t="e">
        <x:f t="shared" ref="F80:F83" si="10">DAYS360(D80,E80)</x:f>
      </x:c>
      <x:c r="G80" s="224"/>
      <x:c r="H80" s="225"/>
      <x:c r="I80" s="225"/>
      <x:c r="J80" s="225"/>
      <x:c r="K80" s="225"/>
      <x:c r="L80" s="225"/>
      <x:c r="M80" s="225"/>
      <x:c r="N80" s="117"/>
      <x:c r="O80" s="85"/>
      <x:c r="P80" s="85"/>
    </x:row>
    <x:row r="81" ht="15.75" customHeight="1">
      <x:c r="A81" s="75"/>
      <x:c r="B81" s="82"/>
      <x:c r="C81" s="82"/>
      <x:c r="D81" s="83"/>
      <x:c r="E81" s="93"/>
      <x:c r="F81" s="84">
        <x:f t="shared" si="10"/>
        <x:v>0</x:v>
      </x:c>
      <x:c r="G81" s="224"/>
      <x:c r="H81" s="225"/>
      <x:c r="I81" s="225"/>
      <x:c r="J81" s="225"/>
      <x:c r="K81" s="225"/>
      <x:c r="L81" s="225"/>
      <x:c r="M81" s="225"/>
      <x:c r="N81" s="117"/>
      <x:c r="O81" s="85"/>
      <x:c r="P81" s="85"/>
    </x:row>
    <x:row r="82" ht="15.75" customHeight="1">
      <x:c r="A82" s="75"/>
      <x:c r="B82" s="82"/>
      <x:c r="C82" s="82"/>
      <x:c r="D82" s="83"/>
      <x:c r="E82" s="93"/>
      <x:c r="F82" s="84">
        <x:f t="shared" si="10"/>
        <x:v>0</x:v>
      </x:c>
      <x:c r="G82" s="224"/>
      <x:c r="H82" s="225"/>
      <x:c r="I82" s="225"/>
      <x:c r="J82" s="225"/>
      <x:c r="K82" s="225"/>
      <x:c r="L82" s="225"/>
      <x:c r="M82" s="225"/>
      <x:c r="N82" s="117"/>
      <x:c r="O82" s="85"/>
      <x:c r="P82" s="85"/>
    </x:row>
    <x:row r="83" ht="15.75" customHeight="1">
      <x:c r="A83" s="75"/>
      <x:c r="B83" s="82"/>
      <x:c r="C83" s="82"/>
      <x:c r="D83" s="83"/>
      <x:c r="E83" s="83"/>
      <x:c r="F83" s="84">
        <x:f t="shared" si="10"/>
        <x:v>0</x:v>
      </x:c>
      <x:c r="G83" s="224"/>
      <x:c r="H83" s="225"/>
      <x:c r="I83" s="225"/>
      <x:c r="J83" s="225"/>
      <x:c r="K83" s="225"/>
      <x:c r="L83" s="225"/>
      <x:c r="M83" s="225"/>
      <x:c r="N83" s="117"/>
      <x:c r="O83" s="85"/>
      <x:c r="P83" s="85"/>
    </x:row>
    <x:row r="84" ht="15.75" customHeight="1">
      <x:c r="N84" s="131" t="n">
        <x:f>SUM(N79:N83)</x:f>
        <x:v>0</x:v>
      </x:c>
      <x:c r="O84" s="36"/>
    </x:row>
    <x:row r="85" ht="15.75" customHeight="1">
      <x:c r="O85" s="36"/>
    </x:row>
    <x:row r="86" ht="15.75" customHeight="1">
      <x:c r="O86" s="36"/>
    </x:row>
    <x:row r="87" ht="15.75" customHeight="1">
      <x:c r="O87" s="36"/>
    </x:row>
    <x:row r="88" ht="15.75" customHeight="1">
      <x:c r="O88" s="36"/>
    </x:row>
    <x:row r="89" ht="15.75" customHeight="1">
      <x:c r="O89" s="36"/>
    </x:row>
    <x:row r="90" ht="15.75" customHeight="1">
      <x:c r="O90" s="36"/>
    </x:row>
    <x:row r="91" ht="15.75" customHeight="1">
      <x:c r="O91" s="36"/>
    </x:row>
    <x:row r="92" ht="15.75" customHeight="1">
      <x:c r="O92" s="36"/>
    </x:row>
    <x:row r="93" ht="15.75" customHeight="1">
      <x:c r="O93" s="36"/>
    </x:row>
    <x:row r="94" ht="15.75" customHeight="1">
      <x:c r="O94" s="36"/>
    </x:row>
    <x:row r="95" ht="15.75" customHeight="1">
      <x:c r="O95" s="36"/>
    </x:row>
    <x:row r="96" ht="15.75" customHeight="1">
      <x:c r="O96" s="36"/>
    </x:row>
    <x:row r="97" ht="15.75" customHeight="1">
      <x:c r="O97" s="36"/>
    </x:row>
    <x:row r="98" ht="15.75" customHeight="1">
      <x:c r="O98" s="36"/>
    </x:row>
    <x:row r="99" ht="15.75" customHeight="1">
      <x:c r="O99" s="36"/>
    </x:row>
    <x:row r="100" ht="15.75" customHeight="1">
      <x:c r="O100" s="36"/>
    </x:row>
    <x:row r="101" ht="15.75" customHeight="1">
      <x:c r="O101" s="36"/>
    </x:row>
    <x:row r="102" ht="15.75" customHeight="1">
      <x:c r="O102" s="36"/>
    </x:row>
    <x:row r="103" ht="15.75" customHeight="1">
      <x:c r="O103" s="36"/>
    </x:row>
    <x:row r="104" ht="15.75" customHeight="1">
      <x:c r="O104" s="36"/>
    </x:row>
    <x:row r="105" ht="15.75" customHeight="1">
      <x:c r="O105" s="36"/>
    </x:row>
    <x:row r="106" ht="15.75" customHeight="1">
      <x:c r="O106" s="36"/>
    </x:row>
    <x:row r="107" ht="15.75" customHeight="1">
      <x:c r="O107" s="36"/>
    </x:row>
    <x:row r="108" ht="15.75" customHeight="1">
      <x:c r="O108" s="36"/>
    </x:row>
    <x:row r="109" ht="15.75" customHeight="1">
      <x:c r="O109" s="36"/>
    </x:row>
    <x:row r="110" ht="15.75" customHeight="1">
      <x:c r="O110" s="36"/>
    </x:row>
    <x:row r="111" ht="15.75" customHeight="1">
      <x:c r="O111" s="36"/>
    </x:row>
    <x:row r="112" ht="15.75" customHeight="1">
      <x:c r="O112" s="36"/>
    </x:row>
    <x:row r="113" ht="15.75" customHeight="1">
      <x:c r="O113" s="36"/>
    </x:row>
    <x:row r="114" ht="15.75" customHeight="1">
      <x:c r="O114" s="36"/>
    </x:row>
    <x:row r="115" ht="15.75" customHeight="1">
      <x:c r="O115" s="36"/>
    </x:row>
    <x:row r="116" ht="15.75" customHeight="1">
      <x:c r="O116" s="36"/>
    </x:row>
    <x:row r="117" ht="15.75" customHeight="1">
      <x:c r="O117" s="36"/>
    </x:row>
    <x:row r="118" ht="15.75" customHeight="1">
      <x:c r="O118" s="36"/>
    </x:row>
    <x:row r="119" ht="15.75" customHeight="1">
      <x:c r="O119" s="36"/>
    </x:row>
    <x:row r="120" ht="15.75" customHeight="1">
      <x:c r="O120" s="36"/>
    </x:row>
    <x:row r="121" ht="15.75" customHeight="1">
      <x:c r="O121" s="36"/>
    </x:row>
    <x:row r="122" ht="15.75" customHeight="1">
      <x:c r="O122" s="36"/>
    </x:row>
    <x:row r="123" ht="15.75" customHeight="1">
      <x:c r="O123" s="36"/>
    </x:row>
    <x:row r="124" ht="15.75" customHeight="1">
      <x:c r="O124" s="36"/>
    </x:row>
    <x:row r="125" ht="15.75" customHeight="1">
      <x:c r="O125" s="36"/>
    </x:row>
    <x:row r="126" ht="15.75" customHeight="1">
      <x:c r="O126" s="36"/>
    </x:row>
    <x:row r="127" ht="15.75" customHeight="1">
      <x:c r="O127" s="36"/>
    </x:row>
    <x:row r="128" ht="15.75" customHeight="1">
      <x:c r="O128" s="36"/>
    </x:row>
    <x:row r="129" ht="15.75" customHeight="1">
      <x:c r="O129" s="36"/>
    </x:row>
    <x:row r="130" ht="15.75" customHeight="1">
      <x:c r="O130" s="36"/>
    </x:row>
    <x:row r="131" ht="15.75" customHeight="1">
      <x:c r="O131" s="36"/>
    </x:row>
    <x:row r="132" ht="15.75" customHeight="1">
      <x:c r="O132" s="36"/>
    </x:row>
    <x:row r="133" ht="15.75" customHeight="1">
      <x:c r="O133" s="36"/>
    </x:row>
    <x:row r="134" ht="15.75" customHeight="1">
      <x:c r="O134" s="36"/>
    </x:row>
    <x:row r="135" ht="15.75" customHeight="1">
      <x:c r="O135" s="36"/>
    </x:row>
    <x:row r="136" ht="15.75" customHeight="1">
      <x:c r="O136" s="36"/>
    </x:row>
    <x:row r="137" ht="15.75" customHeight="1">
      <x:c r="O137" s="36"/>
    </x:row>
    <x:row r="138" ht="15.75" customHeight="1">
      <x:c r="O138" s="36"/>
    </x:row>
    <x:row r="139" ht="15.75" customHeight="1">
      <x:c r="O139" s="36"/>
    </x:row>
    <x:row r="140" ht="15.75" customHeight="1">
      <x:c r="O140" s="36"/>
    </x:row>
    <x:row r="141" ht="15.75" customHeight="1">
      <x:c r="O141" s="36"/>
    </x:row>
    <x:row r="142" ht="15.75" customHeight="1">
      <x:c r="O142" s="36"/>
    </x:row>
    <x:row r="143" ht="15.75" customHeight="1">
      <x:c r="O143" s="36"/>
    </x:row>
    <x:row r="144" ht="15.75" customHeight="1">
      <x:c r="O144" s="36"/>
    </x:row>
    <x:row r="145" ht="15.75" customHeight="1">
      <x:c r="O145" s="36"/>
    </x:row>
    <x:row r="146" ht="15.75" customHeight="1">
      <x:c r="O146" s="36"/>
    </x:row>
    <x:row r="147" ht="15.75" customHeight="1">
      <x:c r="O147" s="36"/>
    </x:row>
    <x:row r="148" ht="15.75" customHeight="1">
      <x:c r="O148" s="36"/>
    </x:row>
    <x:row r="149" ht="15.75" customHeight="1">
      <x:c r="O149" s="36"/>
    </x:row>
    <x:row r="150" ht="15.75" customHeight="1">
      <x:c r="O150" s="36"/>
    </x:row>
    <x:row r="151" ht="15.75" customHeight="1">
      <x:c r="O151" s="36"/>
    </x:row>
    <x:row r="152" ht="15.75" customHeight="1">
      <x:c r="O152" s="36"/>
    </x:row>
    <x:row r="153" ht="15.75" customHeight="1">
      <x:c r="O153" s="36"/>
    </x:row>
    <x:row r="154" ht="15.75" customHeight="1">
      <x:c r="O154" s="36"/>
    </x:row>
    <x:row r="155" ht="15.75" customHeight="1">
      <x:c r="O155" s="36"/>
    </x:row>
    <x:row r="156" ht="15.75" customHeight="1">
      <x:c r="O156" s="36"/>
    </x:row>
    <x:row r="157" ht="15.75" customHeight="1">
      <x:c r="O157" s="36"/>
    </x:row>
    <x:row r="158" ht="15.75" customHeight="1">
      <x:c r="O158" s="36"/>
    </x:row>
    <x:row r="159" ht="15.75" customHeight="1">
      <x:c r="O159" s="36"/>
    </x:row>
    <x:row r="160" ht="15.75" customHeight="1">
      <x:c r="O160" s="36"/>
    </x:row>
    <x:row r="161" ht="15.75" customHeight="1">
      <x:c r="O161" s="36"/>
    </x:row>
    <x:row r="162" ht="15.75" customHeight="1">
      <x:c r="O162" s="36"/>
    </x:row>
    <x:row r="163" ht="15.75" customHeight="1">
      <x:c r="O163" s="36"/>
    </x:row>
    <x:row r="164" ht="15.75" customHeight="1">
      <x:c r="O164" s="36"/>
    </x:row>
    <x:row r="165" ht="15.75" customHeight="1">
      <x:c r="O165" s="36"/>
    </x:row>
    <x:row r="166" ht="15.75" customHeight="1">
      <x:c r="O166" s="36"/>
    </x:row>
    <x:row r="167" ht="15.75" customHeight="1">
      <x:c r="O167" s="36"/>
    </x:row>
    <x:row r="168" ht="15.75" customHeight="1">
      <x:c r="O168" s="36"/>
    </x:row>
    <x:row r="169" ht="15.75" customHeight="1">
      <x:c r="O169" s="36"/>
    </x:row>
    <x:row r="170" ht="15.75" customHeight="1">
      <x:c r="O170" s="36"/>
    </x:row>
    <x:row r="171" ht="15.75" customHeight="1">
      <x:c r="O171" s="36"/>
    </x:row>
    <x:row r="172" ht="15.75" customHeight="1">
      <x:c r="O172" s="36"/>
    </x:row>
    <x:row r="173" ht="15.75" customHeight="1">
      <x:c r="O173" s="36"/>
    </x:row>
    <x:row r="174" ht="15.75" customHeight="1">
      <x:c r="O174" s="36"/>
    </x:row>
    <x:row r="175" ht="15.75" customHeight="1">
      <x:c r="O175" s="36"/>
    </x:row>
    <x:row r="176" ht="15.75" customHeight="1">
      <x:c r="O176" s="36"/>
    </x:row>
    <x:row r="177" ht="15.75" customHeight="1">
      <x:c r="O177" s="36"/>
    </x:row>
    <x:row r="178" ht="15.75" customHeight="1">
      <x:c r="O178" s="36"/>
    </x:row>
    <x:row r="179" ht="15.75" customHeight="1">
      <x:c r="O179" s="36"/>
    </x:row>
    <x:row r="180" ht="15.75" customHeight="1">
      <x:c r="O180" s="36"/>
    </x:row>
    <x:row r="181" ht="15.75" customHeight="1">
      <x:c r="O181" s="36"/>
    </x:row>
    <x:row r="182" ht="15.75" customHeight="1">
      <x:c r="O182" s="36"/>
    </x:row>
    <x:row r="183" ht="15.75" customHeight="1">
      <x:c r="O183" s="36"/>
    </x:row>
    <x:row r="184" ht="15.75" customHeight="1">
      <x:c r="O184" s="36"/>
    </x:row>
    <x:row r="185" ht="15.75" customHeight="1">
      <x:c r="O185" s="36"/>
    </x:row>
    <x:row r="186" ht="15.75" customHeight="1">
      <x:c r="O186" s="36"/>
    </x:row>
    <x:row r="187" ht="15.75" customHeight="1">
      <x:c r="O187" s="36"/>
    </x:row>
    <x:row r="188" ht="15.75" customHeight="1">
      <x:c r="O188" s="36"/>
    </x:row>
    <x:row r="189" ht="15.75" customHeight="1">
      <x:c r="O189" s="36"/>
    </x:row>
    <x:row r="190" ht="15.75" customHeight="1">
      <x:c r="O190" s="36"/>
    </x:row>
    <x:row r="191" ht="15.75" customHeight="1">
      <x:c r="O191" s="36"/>
    </x:row>
    <x:row r="192" ht="15.75" customHeight="1">
      <x:c r="O192" s="36"/>
    </x:row>
    <x:row r="193" ht="15.75" customHeight="1">
      <x:c r="O193" s="36"/>
    </x:row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</x:sheetData>
  <x:mergeCells>
    <x:mergeCell ref="G32:M32"/>
    <x:mergeCell ref="G33:M33"/>
    <x:mergeCell ref="G34:M34"/>
    <x:mergeCell ref="G35:M35"/>
    <x:mergeCell ref="G39:M39"/>
    <x:mergeCell ref="G82:M82"/>
    <x:mergeCell ref="G83:M83"/>
    <x:mergeCell ref="B70:O70"/>
    <x:mergeCell ref="G67:M67"/>
    <x:mergeCell ref="G71:M71"/>
    <x:mergeCell ref="G72:M72"/>
    <x:mergeCell ref="G73:M73"/>
    <x:mergeCell ref="G74:M74"/>
    <x:mergeCell ref="B78:O78"/>
    <x:mergeCell ref="G75:M75"/>
    <x:mergeCell ref="G79:M79"/>
    <x:mergeCell ref="G80:M80"/>
    <x:mergeCell ref="G81:M81"/>
    <x:mergeCell ref="G66:M66"/>
    <x:mergeCell ref="B54:O54"/>
    <x:mergeCell ref="G51:M51"/>
    <x:mergeCell ref="G55:M55"/>
    <x:mergeCell ref="G56:M56"/>
    <x:mergeCell ref="G57:M57"/>
    <x:mergeCell ref="G58:M58"/>
    <x:mergeCell ref="B62:O62"/>
    <x:mergeCell ref="G59:M59"/>
    <x:mergeCell ref="G63:M63"/>
    <x:mergeCell ref="G64:M64"/>
    <x:mergeCell ref="G65:M65"/>
    <x:mergeCell ref="G50:M50"/>
    <x:mergeCell ref="B38:O38"/>
    <x:mergeCell ref="G40:M40"/>
    <x:mergeCell ref="G41:M41"/>
    <x:mergeCell ref="G42:M42"/>
    <x:mergeCell ref="B46:O46"/>
    <x:mergeCell ref="G43:M43"/>
    <x:mergeCell ref="G47:M47"/>
    <x:mergeCell ref="G48:M48"/>
    <x:mergeCell ref="G49:M49"/>
    <x:mergeCell ref="G31:M31"/>
    <x:mergeCell ref="B14:O14"/>
    <x:mergeCell ref="G15:M15"/>
    <x:mergeCell ref="G16:M16"/>
    <x:mergeCell ref="G17:M17"/>
    <x:mergeCell ref="G18:M18"/>
    <x:mergeCell ref="G19:M19"/>
    <x:mergeCell ref="G21:N21"/>
    <x:mergeCell ref="B22:O22"/>
    <x:mergeCell ref="B30:O30"/>
    <x:mergeCell ref="G23:M23"/>
    <x:mergeCell ref="G24:M24"/>
    <x:mergeCell ref="G25:M25"/>
    <x:mergeCell ref="G26:M26"/>
    <x:mergeCell ref="G27:M27"/>
    <x:mergeCell ref="G7:M7"/>
    <x:mergeCell ref="G8:M8"/>
    <x:mergeCell ref="G9:M9"/>
    <x:mergeCell ref="G10:M10"/>
    <x:mergeCell ref="G11:M11"/>
    <x:mergeCell ref="B2:F2"/>
    <x:mergeCell ref="I2:O2"/>
    <x:mergeCell ref="B4:P4"/>
    <x:mergeCell ref="B6:O6"/>
    <x:mergeCell ref="G5:M5"/>
  </x:mergeCells>
  <x:conditionalFormatting sqref="P28:P29 P1:P4 P36:P37 P44:P45 P52:P53 P60:P61 P68:P69 P76:P77 P84:P968 P6:P22">
    <x:cfRule type="cellIs" dxfId="124" priority="31" operator="equal">
      <x:formula>"미완료"</x:formula>
    </x:cfRule>
  </x:conditionalFormatting>
  <x:conditionalFormatting sqref="P30:P30">
    <x:cfRule type="cellIs" dxfId="123" priority="29" operator="equal">
      <x:formula>"미완료"</x:formula>
    </x:cfRule>
  </x:conditionalFormatting>
  <x:conditionalFormatting sqref="P38:P38">
    <x:cfRule type="cellIs" dxfId="122" priority="27" operator="equal">
      <x:formula>"미완료"</x:formula>
    </x:cfRule>
  </x:conditionalFormatting>
  <x:conditionalFormatting sqref="P46:P46">
    <x:cfRule type="cellIs" dxfId="121" priority="25" operator="equal">
      <x:formula>"미완료"</x:formula>
    </x:cfRule>
  </x:conditionalFormatting>
  <x:conditionalFormatting sqref="P54:P54">
    <x:cfRule type="cellIs" dxfId="120" priority="23" operator="equal">
      <x:formula>"미완료"</x:formula>
    </x:cfRule>
  </x:conditionalFormatting>
  <x:conditionalFormatting sqref="P62:P62">
    <x:cfRule type="cellIs" dxfId="119" priority="21" operator="equal">
      <x:formula>"미완료"</x:formula>
    </x:cfRule>
  </x:conditionalFormatting>
  <x:conditionalFormatting sqref="P70:P70">
    <x:cfRule type="cellIs" dxfId="118" priority="19" operator="equal">
      <x:formula>"미완료"</x:formula>
    </x:cfRule>
  </x:conditionalFormatting>
  <x:conditionalFormatting sqref="P78:P78">
    <x:cfRule type="cellIs" dxfId="117" priority="17" operator="equal">
      <x:formula>"미완료"</x:formula>
    </x:cfRule>
  </x:conditionalFormatting>
  <x:conditionalFormatting sqref="P23:P27">
    <x:cfRule type="cellIs" dxfId="116" priority="9" operator="equal">
      <x:formula>"미완료"</x:formula>
    </x:cfRule>
  </x:conditionalFormatting>
  <x:conditionalFormatting sqref="P31:P35">
    <x:cfRule type="cellIs" dxfId="115" priority="8" operator="equal">
      <x:formula>"미완료"</x:formula>
    </x:cfRule>
  </x:conditionalFormatting>
  <x:conditionalFormatting sqref="P39:P43">
    <x:cfRule type="cellIs" dxfId="114" priority="7" operator="equal">
      <x:formula>"미완료"</x:formula>
    </x:cfRule>
  </x:conditionalFormatting>
  <x:conditionalFormatting sqref="P47:P51">
    <x:cfRule type="cellIs" dxfId="113" priority="6" operator="equal">
      <x:formula>"미완료"</x:formula>
    </x:cfRule>
  </x:conditionalFormatting>
  <x:conditionalFormatting sqref="P55:P59">
    <x:cfRule type="cellIs" dxfId="112" priority="5" operator="equal">
      <x:formula>"미완료"</x:formula>
    </x:cfRule>
  </x:conditionalFormatting>
  <x:conditionalFormatting sqref="P63:P67">
    <x:cfRule type="cellIs" dxfId="111" priority="4" operator="equal">
      <x:formula>"미완료"</x:formula>
    </x:cfRule>
  </x:conditionalFormatting>
  <x:conditionalFormatting sqref="P71:P75">
    <x:cfRule type="cellIs" dxfId="110" priority="3" operator="equal">
      <x:formula>"미완료"</x:formula>
    </x:cfRule>
  </x:conditionalFormatting>
  <x:conditionalFormatting sqref="P79:P83">
    <x:cfRule type="cellIs" dxfId="109" priority="2" operator="equal">
      <x:formula>"미완료"</x:formula>
    </x:cfRule>
  </x:conditionalFormatting>
  <x:conditionalFormatting sqref="P5:P5">
    <x:cfRule type="cellIs" dxfId="108" priority="1" operator="equal">
      <x:formula>"미완료"</x:formula>
    </x:cfRule>
  </x:conditionalFormatting>
  <x:dataValidations count="4">
    <x:dataValidation type="list" allowBlank="1" sqref="C7:C12 C71:C75 C15:C21 C23:C27 C31:C35 C39:C43 C47:C51 C55:C59 C63:C67 C79:C83">
      <x:formula1>$T$3:$T$6</x:formula1>
    </x:dataValidation>
    <x:dataValidation type="list" allowBlank="1" showErrorMessage="1" sqref="P7:P9 P15:P21 P71:P75 P23:P27 P31:P35 P39:P43 P47:P51 P55:P59 P63:P67 P79:P83">
      <x:formula1>$R$13:$R$14</x:formula1>
    </x:dataValidation>
    <x:dataValidation type="list" allowBlank="1" sqref="B8:B12 B72:B75 B16:B21 B24:B27 B32:B35 B40:B43 B48:B51 B56:B59 B64:B67 B80:B83">
      <x:formula1>$R$3:$R$9</x:formula1>
    </x:dataValidation>
    <x:dataValidation type="list" allowBlank="1" sqref="B7 B15 B71 B23 B31 B39 B47 B55 B63 B79">
      <x:formula1>$R$3:$R$11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00000"/>
  </x:sheetPr>
  <x:sheetViews>
    <x:sheetView showGridLines="0" workbookViewId="0"/>
  </x:sheetViews>
  <x:sheetFormatPr defaultColWidth="14.42578125" defaultRowHeight="15"/>
  <x:cols>
    <x:col min="1" max="1" width="4.85546875" style="36" customWidth="1"/>
    <x:col min="2" max="2" width="17.28515625" customWidth="1"/>
    <x:col min="3" max="6" width="15.140625" customWidth="1"/>
    <x:col min="7" max="14" width="19.140625" customWidth="1"/>
    <x:col min="15" max="15" width="30.7109375" customWidth="1"/>
    <x:col min="16" max="16" width="10.42578125" customWidth="1"/>
    <x:col min="17" max="17" width="3.28515625" customWidth="1"/>
    <x:col min="18" max="18" width="17.140625" customWidth="1"/>
    <x:col min="19" max="19" width="3.28515625" customWidth="1"/>
    <x:col min="20" max="20" width="17.140625" customWidth="1"/>
    <x:col min="21" max="21" width="3.28515625" customWidth="1"/>
  </x:cols>
  <x:sheetData>
    <x:row r="1" ht="21" customHeight="1">
      <x:c r="A1" s="101"/>
      <x:c r="B1" s="1"/>
      <x:c r="C1" s="2"/>
      <x:c r="D1" s="3"/>
      <x:c r="E1" s="3"/>
      <x:c r="F1" s="4"/>
      <x:c r="G1" s="2"/>
      <x:c r="H1" s="2"/>
      <x:c r="I1" s="5"/>
      <x:c r="J1" s="6"/>
      <x:c r="K1" s="7"/>
      <x:c r="L1" s="6"/>
      <x:c r="M1" s="6"/>
      <x:c r="N1" s="6"/>
      <x:c r="O1" s="5"/>
      <x:c r="P1" s="9"/>
      <x:c r="Q1" s="8"/>
      <x:c r="R1" s="8"/>
      <x:c r="S1" s="8"/>
      <x:c r="T1" s="8"/>
      <x:c r="U1" s="8"/>
    </x:row>
    <x:row r="2" ht="24.75" customHeight="1">
      <x:c r="A2" s="101"/>
      <x:c r="B2" s="214" t="s">
        <x:v>0</x:v>
      </x:c>
      <x:c r="C2" s="215"/>
      <x:c r="D2" s="215"/>
      <x:c r="E2" s="215"/>
      <x:c r="F2" s="216"/>
      <x:c r="G2" s="10"/>
      <x:c r="H2" s="11" t="s">
        <x:v>1</x:v>
      </x:c>
      <x:c r="I2" s="217" t="s">
        <x:v>2</x:v>
      </x:c>
      <x:c r="J2" s="215"/>
      <x:c r="K2" s="215"/>
      <x:c r="L2" s="215"/>
      <x:c r="M2" s="215"/>
      <x:c r="N2" s="215"/>
      <x:c r="O2" s="216"/>
      <x:c r="Q2" s="12"/>
      <x:c r="R2" s="13" t="s">
        <x:v>3</x:v>
      </x:c>
      <x:c r="S2" s="13"/>
      <x:c r="T2" s="13" t="s">
        <x:v>4</x:v>
      </x:c>
      <x:c r="U2" s="12"/>
    </x:row>
    <x:row r="3" ht="21" customHeight="1">
      <x:c r="A3" s="101"/>
      <x:c r="B3" s="14"/>
      <x:c r="C3" s="14"/>
      <x:c r="D3" s="15"/>
      <x:c r="E3" s="15"/>
      <x:c r="F3" s="16"/>
      <x:c r="G3" s="17"/>
      <x:c r="H3" s="18"/>
      <x:c r="I3" s="19"/>
      <x:c r="J3" s="19"/>
      <x:c r="K3" s="19"/>
      <x:c r="L3" s="20"/>
      <x:c r="M3" s="20"/>
      <x:c r="N3" s="20"/>
      <x:c r="O3" s="39"/>
      <x:c r="P3" s="20"/>
      <x:c r="Q3" s="21"/>
      <x:c r="R3" s="22" t="s">
        <x:v>5</x:v>
      </x:c>
      <x:c r="S3" s="23"/>
      <x:c r="T3" s="22" t="s">
        <x:v>6</x:v>
      </x:c>
      <x:c r="U3" s="21"/>
    </x:row>
    <x:row r="4" ht="21" customHeight="1">
      <x:c r="A4" s="101"/>
      <x:c r="B4" s="218" t="s">
        <x:v>7</x:v>
      </x:c>
      <x:c r="C4" s="219"/>
      <x:c r="D4" s="219"/>
      <x:c r="E4" s="219"/>
      <x:c r="F4" s="219"/>
      <x:c r="G4" s="219"/>
      <x:c r="H4" s="219"/>
      <x:c r="I4" s="219"/>
      <x:c r="J4" s="219"/>
      <x:c r="K4" s="219"/>
      <x:c r="L4" s="219"/>
      <x:c r="M4" s="219"/>
      <x:c r="N4" s="219"/>
      <x:c r="O4" s="219"/>
      <x:c r="P4" s="220"/>
      <x:c r="Q4" s="21"/>
      <x:c r="R4" s="22" t="s">
        <x:v>8</x:v>
      </x:c>
      <x:c r="S4" s="23"/>
      <x:c r="T4" s="22" t="s">
        <x:v>9</x:v>
      </x:c>
      <x:c r="U4" s="21"/>
    </x:row>
    <x:row r="5" ht="21" customHeight="1">
      <x:c r="A5" s="101"/>
      <x:c r="B5" s="40" t="s">
        <x:v>10</x:v>
      </x:c>
      <x:c r="C5" s="41" t="s">
        <x:v>11</x:v>
      </x:c>
      <x:c r="D5" s="41" t="s">
        <x:v>12</x:v>
      </x:c>
      <x:c r="E5" s="40" t="s">
        <x:v>13</x:v>
      </x:c>
      <x:c r="F5" s="40" t="s">
        <x:v>14</x:v>
      </x:c>
      <x:c r="G5" s="223" t="s">
        <x:v>15</x:v>
      </x:c>
      <x:c r="H5" s="223"/>
      <x:c r="I5" s="223"/>
      <x:c r="J5" s="223"/>
      <x:c r="K5" s="223"/>
      <x:c r="L5" s="223"/>
      <x:c r="M5" s="223"/>
      <x:c r="N5" s="114" t="s">
        <x:v>16</x:v>
      </x:c>
      <x:c r="O5" s="41" t="s">
        <x:v>17</x:v>
      </x:c>
      <x:c r="P5" s="40" t="s">
        <x:v>18</x:v>
      </x:c>
      <x:c r="Q5" s="21"/>
      <x:c r="R5" s="22" t="s">
        <x:v>19</x:v>
      </x:c>
      <x:c r="S5" s="23"/>
      <x:c r="T5" s="22" t="s">
        <x:v>20</x:v>
      </x:c>
      <x:c r="U5" s="21"/>
    </x:row>
    <x:row r="6" ht="30" customHeight="1">
      <x:c r="A6" s="104">
        <x:v>11</x:v>
      </x:c>
      <x:c r="B6" s="221" t="s">
        <x:v>38</x:v>
      </x:c>
      <x:c r="C6" s="222"/>
      <x:c r="D6" s="222"/>
      <x:c r="E6" s="222"/>
      <x:c r="F6" s="222"/>
      <x:c r="G6" s="222"/>
      <x:c r="H6" s="222"/>
      <x:c r="I6" s="222"/>
      <x:c r="J6" s="222"/>
      <x:c r="K6" s="222"/>
      <x:c r="L6" s="222"/>
      <x:c r="M6" s="222"/>
      <x:c r="N6" s="222"/>
      <x:c r="O6" s="222"/>
      <x:c r="P6" s="81"/>
      <x:c r="Q6" s="21"/>
      <x:c r="R6" s="25" t="s">
        <x:v>22</x:v>
      </x:c>
      <x:c r="S6" s="23"/>
      <x:c r="T6" s="22"/>
      <x:c r="U6" s="21"/>
    </x:row>
    <x:row r="7" ht="15.949999809265137" customHeight="1">
      <x:c r="A7" s="42"/>
      <x:c r="B7" s="26" t="s">
        <x:v>23</x:v>
      </x:c>
      <x:c r="C7" s="26" t="s">
        <x:v>20</x:v>
      </x:c>
      <x:c r="D7" s="28">
        <x:v>46140</x:v>
      </x:c>
      <x:c r="E7" s="28">
        <x:v>46141</x:v>
      </x:c>
      <x:c r="F7" s="84" t="n">
        <x:f>DAYS360(D7,E7)</x:f>
        <x:v>1</x:v>
      </x:c>
      <x:c r="G7" s="224"/>
      <x:c r="H7" s="225"/>
      <x:c r="I7" s="225"/>
      <x:c r="J7" s="225"/>
      <x:c r="K7" s="225"/>
      <x:c r="L7" s="225"/>
      <x:c r="M7" s="225"/>
      <x:c r="N7" s="117"/>
      <x:c r="O7" s="85"/>
      <x:c r="P7" s="85"/>
      <x:c r="Q7" s="27"/>
      <x:c r="R7" s="25" t="s">
        <x:v>24</x:v>
      </x:c>
      <x:c r="S7" s="27"/>
      <x:c r="T7" s="27"/>
      <x:c r="U7" s="27"/>
    </x:row>
    <x:row r="8" ht="15.949999809265137" customHeight="1">
      <x:c r="A8" s="102"/>
      <x:c r="B8" s="87"/>
      <x:c r="C8" s="87"/>
      <x:c r="D8" s="83"/>
      <x:c r="E8" s="83"/>
      <x:c r="F8" s="84" t="e">
        <x:f t="shared" ref="F8:F11" si="0">DAYS360(D8,E8)</x:f>
      </x:c>
      <x:c r="G8" s="224"/>
      <x:c r="H8" s="225"/>
      <x:c r="I8" s="225"/>
      <x:c r="J8" s="225"/>
      <x:c r="K8" s="225"/>
      <x:c r="L8" s="225"/>
      <x:c r="M8" s="225"/>
      <x:c r="N8" s="117"/>
      <x:c r="O8" s="85"/>
      <x:c r="P8" s="85"/>
      <x:c r="Q8" s="30"/>
      <x:c r="R8" s="25"/>
      <x:c r="S8" s="30"/>
      <x:c r="T8" s="30"/>
      <x:c r="U8" s="30"/>
    </x:row>
    <x:row r="9" ht="15.949999809265137" customHeight="1">
      <x:c r="A9" s="102"/>
      <x:c r="B9" s="87"/>
      <x:c r="C9" s="87"/>
      <x:c r="D9" s="83"/>
      <x:c r="E9" s="83"/>
      <x:c r="F9" s="84">
        <x:f t="shared" si="0"/>
        <x:v>0</x:v>
      </x:c>
      <x:c r="G9" s="224"/>
      <x:c r="H9" s="225"/>
      <x:c r="I9" s="225"/>
      <x:c r="J9" s="225"/>
      <x:c r="K9" s="225"/>
      <x:c r="L9" s="225"/>
      <x:c r="M9" s="225"/>
      <x:c r="N9" s="117"/>
      <x:c r="O9" s="85"/>
      <x:c r="P9" s="85"/>
      <x:c r="Q9" s="30"/>
      <x:c r="R9" s="25"/>
      <x:c r="S9" s="30"/>
      <x:c r="T9" s="30"/>
      <x:c r="U9" s="30"/>
    </x:row>
    <x:row r="10" ht="15.949999809265137" customHeight="1">
      <x:c r="A10" s="103"/>
      <x:c r="B10" s="90"/>
      <x:c r="C10" s="90"/>
      <x:c r="D10" s="89"/>
      <x:c r="E10" s="89"/>
      <x:c r="F10" s="84">
        <x:f t="shared" si="0"/>
        <x:v>0</x:v>
      </x:c>
      <x:c r="G10" s="224"/>
      <x:c r="H10" s="225"/>
      <x:c r="I10" s="225"/>
      <x:c r="J10" s="225"/>
      <x:c r="K10" s="225"/>
      <x:c r="L10" s="225"/>
      <x:c r="M10" s="225"/>
      <x:c r="N10" s="117"/>
      <x:c r="O10" s="90"/>
      <x:c r="P10" s="91"/>
      <x:c r="Q10" s="30"/>
      <x:c r="R10" s="30"/>
      <x:c r="S10" s="30"/>
      <x:c r="T10" s="30"/>
      <x:c r="U10" s="30"/>
    </x:row>
    <x:row r="11" ht="15.949999809265137" customHeight="1">
      <x:c r="A11" s="103"/>
      <x:c r="B11" s="90"/>
      <x:c r="C11" s="90"/>
      <x:c r="D11" s="89"/>
      <x:c r="E11" s="89"/>
      <x:c r="F11" s="84">
        <x:f t="shared" si="0"/>
        <x:v>0</x:v>
      </x:c>
      <x:c r="G11" s="224"/>
      <x:c r="H11" s="225"/>
      <x:c r="I11" s="225"/>
      <x:c r="J11" s="225"/>
      <x:c r="K11" s="225"/>
      <x:c r="L11" s="225"/>
      <x:c r="M11" s="225"/>
      <x:c r="N11" s="117"/>
      <x:c r="O11" s="90"/>
      <x:c r="P11" s="91"/>
      <x:c r="Q11" s="30"/>
      <x:c r="R11" s="13" t="s">
        <x:v>25</x:v>
      </x:c>
      <x:c r="S11" s="30"/>
      <x:c r="T11" s="30"/>
      <x:c r="U11" s="30"/>
    </x:row>
    <x:row r="12" ht="21" customHeight="1">
      <x:c r="A12" s="103"/>
      <x:c r="B12" s="107"/>
      <x:c r="C12" s="107"/>
      <x:c r="D12" s="108"/>
      <x:c r="E12" s="108"/>
      <x:c r="F12" s="109"/>
      <x:c r="G12" s="107"/>
      <x:c r="H12" s="110"/>
      <x:c r="I12" s="110"/>
      <x:c r="J12" s="110"/>
      <x:c r="K12" s="110"/>
      <x:c r="L12" s="110"/>
      <x:c r="M12" s="110"/>
      <x:c r="N12" s="131" t="n">
        <x:f>SUM(N7:N11)</x:f>
        <x:v>0</x:v>
      </x:c>
      <x:c r="O12" s="107"/>
      <x:c r="P12" s="111"/>
      <x:c r="Q12" s="112"/>
      <x:c r="R12" s="113"/>
      <x:c r="S12" s="112"/>
      <x:c r="T12" s="112"/>
      <x:c r="U12" s="112"/>
    </x:row>
    <x:row r="13" ht="21" customHeight="1">
      <x:c r="A13" s="75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49"/>
      <x:c r="Q13" s="30"/>
      <x:c r="R13" s="25" t="s">
        <x:v>26</x:v>
      </x:c>
      <x:c r="S13" s="30"/>
      <x:c r="T13" s="30"/>
      <x:c r="U13" s="30"/>
    </x:row>
    <x:row r="14" ht="26.25">
      <x:c r="A14" s="104">
        <x:v>12</x:v>
      </x:c>
      <x:c r="B14" s="221" t="s">
        <x:v>39</x:v>
      </x:c>
      <x:c r="C14" s="222"/>
      <x:c r="D14" s="222"/>
      <x:c r="E14" s="222"/>
      <x:c r="F14" s="222"/>
      <x:c r="G14" s="222"/>
      <x:c r="H14" s="222"/>
      <x:c r="I14" s="222"/>
      <x:c r="J14" s="222"/>
      <x:c r="K14" s="222"/>
      <x:c r="L14" s="222"/>
      <x:c r="M14" s="222"/>
      <x:c r="N14" s="222"/>
      <x:c r="O14" s="222"/>
      <x:c r="P14" s="92"/>
      <x:c r="Q14" s="30"/>
      <x:c r="R14" s="25" t="s">
        <x:v>28</x:v>
      </x:c>
      <x:c r="S14" s="30"/>
      <x:c r="T14" s="30"/>
      <x:c r="U14" s="30"/>
    </x:row>
    <x:row r="15" ht="15.949999809265137" customHeight="1">
      <x:c r="A15" s="75"/>
      <x:c r="B15" s="26" t="s">
        <x:v>23</x:v>
      </x:c>
      <x:c r="C15" s="26" t="s">
        <x:v>20</x:v>
      </x:c>
      <x:c r="D15" s="28">
        <x:v>46140</x:v>
      </x:c>
      <x:c r="E15" s="28">
        <x:v>46141</x:v>
      </x:c>
      <x:c r="F15" s="84" t="n">
        <x:f>DAYS360(D15,E15)</x:f>
        <x:v>1</x:v>
      </x:c>
      <x:c r="G15" s="224"/>
      <x:c r="H15" s="225"/>
      <x:c r="I15" s="225"/>
      <x:c r="J15" s="225"/>
      <x:c r="K15" s="225"/>
      <x:c r="L15" s="225"/>
      <x:c r="M15" s="225"/>
      <x:c r="N15" s="117"/>
      <x:c r="O15" s="85"/>
      <x:c r="P15" s="85"/>
      <x:c r="Q15" s="37"/>
      <x:c r="R15" s="25"/>
      <x:c r="S15" s="37"/>
      <x:c r="T15" s="37"/>
      <x:c r="U15" s="37"/>
    </x:row>
    <x:row r="16" ht="15.949999809265137" customHeight="1">
      <x:c r="A16" s="75"/>
      <x:c r="B16" s="82"/>
      <x:c r="C16" s="82"/>
      <x:c r="D16" s="83"/>
      <x:c r="E16" s="83"/>
      <x:c r="F16" s="84" t="e">
        <x:f t="shared" ref="F16:F19" si="1">DAYS360(D16,E16)</x:f>
      </x:c>
      <x:c r="G16" s="224"/>
      <x:c r="H16" s="225"/>
      <x:c r="I16" s="225"/>
      <x:c r="J16" s="225"/>
      <x:c r="K16" s="225"/>
      <x:c r="L16" s="225"/>
      <x:c r="M16" s="225"/>
      <x:c r="N16" s="117"/>
      <x:c r="O16" s="85"/>
      <x:c r="P16" s="85"/>
      <x:c r="Q16" s="38"/>
      <x:c r="R16" s="38"/>
      <x:c r="S16" s="38"/>
      <x:c r="T16" s="38"/>
      <x:c r="U16" s="38"/>
    </x:row>
    <x:row r="17" ht="15.949999809265137" customHeight="1">
      <x:c r="A17" s="75"/>
      <x:c r="B17" s="82"/>
      <x:c r="C17" s="82"/>
      <x:c r="D17" s="83"/>
      <x:c r="E17" s="93"/>
      <x:c r="F17" s="84">
        <x:f t="shared" si="1"/>
        <x:v>0</x:v>
      </x:c>
      <x:c r="G17" s="224"/>
      <x:c r="H17" s="225"/>
      <x:c r="I17" s="225"/>
      <x:c r="J17" s="225"/>
      <x:c r="K17" s="225"/>
      <x:c r="L17" s="225"/>
      <x:c r="M17" s="225"/>
      <x:c r="N17" s="117"/>
      <x:c r="O17" s="85"/>
      <x:c r="P17" s="85"/>
      <x:c r="Q17" s="38"/>
      <x:c r="R17" s="38"/>
      <x:c r="S17" s="38"/>
      <x:c r="T17" s="38"/>
      <x:c r="U17" s="38"/>
    </x:row>
    <x:row r="18" ht="15.949999809265137" customHeight="1">
      <x:c r="A18" s="75"/>
      <x:c r="B18" s="82"/>
      <x:c r="C18" s="82"/>
      <x:c r="D18" s="83"/>
      <x:c r="E18" s="93"/>
      <x:c r="F18" s="84">
        <x:f t="shared" si="1"/>
        <x:v>0</x:v>
      </x:c>
      <x:c r="G18" s="224"/>
      <x:c r="H18" s="225"/>
      <x:c r="I18" s="225"/>
      <x:c r="J18" s="225"/>
      <x:c r="K18" s="225"/>
      <x:c r="L18" s="225"/>
      <x:c r="M18" s="225"/>
      <x:c r="N18" s="117"/>
      <x:c r="O18" s="85"/>
      <x:c r="P18" s="85"/>
      <x:c r="Q18" s="38"/>
      <x:c r="R18" s="38"/>
      <x:c r="S18" s="38"/>
      <x:c r="T18" s="38"/>
      <x:c r="U18" s="38"/>
    </x:row>
    <x:row r="19" ht="15.949999809265137" customHeight="1">
      <x:c r="A19" s="75"/>
      <x:c r="B19" s="82"/>
      <x:c r="C19" s="82"/>
      <x:c r="D19" s="83"/>
      <x:c r="E19" s="83"/>
      <x:c r="F19" s="84">
        <x:f t="shared" si="1"/>
        <x:v>0</x:v>
      </x:c>
      <x:c r="G19" s="224"/>
      <x:c r="H19" s="225"/>
      <x:c r="I19" s="225"/>
      <x:c r="J19" s="225"/>
      <x:c r="K19" s="225"/>
      <x:c r="L19" s="225"/>
      <x:c r="M19" s="225"/>
      <x:c r="N19" s="117"/>
      <x:c r="O19" s="85"/>
      <x:c r="P19" s="85"/>
      <x:c r="Q19" s="38"/>
      <x:c r="R19" s="38"/>
      <x:c r="S19" s="38"/>
      <x:c r="T19" s="38"/>
      <x:c r="U19" s="38"/>
    </x:row>
    <x:row r="20" ht="21" customHeight="1">
      <x:c r="A20" s="75"/>
      <x:c r="B20" s="43"/>
      <x:c r="C20" s="43"/>
      <x:c r="D20" s="44"/>
      <x:c r="E20" s="44"/>
      <x:c r="F20" s="36"/>
      <x:c r="G20" s="129"/>
      <x:c r="H20" s="119"/>
      <x:c r="I20" s="119"/>
      <x:c r="J20" s="119"/>
      <x:c r="K20" s="119"/>
      <x:c r="L20" s="119"/>
      <x:c r="M20" s="119"/>
      <x:c r="N20" s="131" t="n">
        <x:f>SUM(N15:N19)</x:f>
        <x:v>0</x:v>
      </x:c>
      <x:c r="O20" s="47"/>
      <x:c r="P20" s="47"/>
      <x:c r="Q20" s="38"/>
      <x:c r="R20" s="38"/>
      <x:c r="S20" s="38"/>
      <x:c r="T20" s="38"/>
      <x:c r="U20" s="38"/>
    </x:row>
    <x:row r="21" ht="21" customHeight="1">
      <x:c r="A21" s="75"/>
      <x:c r="B21" s="32"/>
      <x:c r="C21" s="32"/>
      <x:c r="D21" s="33"/>
      <x:c r="E21" s="33"/>
      <x:c r="F21" s="34"/>
      <x:c r="G21" s="226"/>
      <x:c r="H21" s="227"/>
      <x:c r="I21" s="227"/>
      <x:c r="J21" s="227"/>
      <x:c r="K21" s="227"/>
      <x:c r="L21" s="227"/>
      <x:c r="M21" s="227"/>
      <x:c r="N21" s="227"/>
      <x:c r="O21" s="32"/>
      <x:c r="P21" s="47"/>
      <x:c r="Q21" s="38"/>
      <x:c r="R21" s="38"/>
      <x:c r="S21" s="38"/>
      <x:c r="T21" s="38"/>
      <x:c r="U21" s="38"/>
    </x:row>
    <x:row r="22" ht="26.25">
      <x:c r="A22" s="105">
        <x:v>13</x:v>
      </x:c>
      <x:c r="B22" s="221" t="s">
        <x:v>40</x:v>
      </x:c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49"/>
      <x:c r="Q22" s="38"/>
      <x:c r="R22" s="38"/>
      <x:c r="S22" s="38"/>
      <x:c r="T22" s="38"/>
      <x:c r="U22" s="38"/>
    </x:row>
    <x:row r="23" ht="15.949999809265137" customHeight="1">
      <x:c r="A23" s="75"/>
      <x:c r="B23" s="26" t="s">
        <x:v>23</x:v>
      </x:c>
      <x:c r="C23" s="26" t="s">
        <x:v>20</x:v>
      </x:c>
      <x:c r="D23" s="28">
        <x:v>46140</x:v>
      </x:c>
      <x:c r="E23" s="28">
        <x:v>46141</x:v>
      </x:c>
      <x:c r="F23" s="84" t="n">
        <x:f>DAYS360(D23,E23)</x:f>
        <x:v>1</x:v>
      </x:c>
      <x:c r="G23" s="224"/>
      <x:c r="H23" s="225"/>
      <x:c r="I23" s="225"/>
      <x:c r="J23" s="225"/>
      <x:c r="K23" s="225"/>
      <x:c r="L23" s="225"/>
      <x:c r="M23" s="225"/>
      <x:c r="N23" s="117"/>
      <x:c r="O23" s="85"/>
      <x:c r="P23" s="85"/>
      <x:c r="Q23" s="38"/>
      <x:c r="R23" s="38"/>
      <x:c r="S23" s="38"/>
      <x:c r="T23" s="38"/>
      <x:c r="U23" s="38"/>
    </x:row>
    <x:row r="24" ht="15.949999809265137" customHeight="1">
      <x:c r="A24" s="75"/>
      <x:c r="B24" s="82"/>
      <x:c r="C24" s="82"/>
      <x:c r="D24" s="83"/>
      <x:c r="E24" s="83"/>
      <x:c r="F24" s="84" t="e">
        <x:f t="shared" ref="F24:F27" si="2">DAYS360(D24,E24)</x:f>
      </x:c>
      <x:c r="G24" s="224"/>
      <x:c r="H24" s="225"/>
      <x:c r="I24" s="225"/>
      <x:c r="J24" s="225"/>
      <x:c r="K24" s="225"/>
      <x:c r="L24" s="225"/>
      <x:c r="M24" s="225"/>
      <x:c r="N24" s="117"/>
      <x:c r="O24" s="85"/>
      <x:c r="P24" s="85"/>
      <x:c r="Q24" s="38"/>
      <x:c r="R24" s="38"/>
      <x:c r="S24" s="38"/>
      <x:c r="T24" s="38"/>
      <x:c r="U24" s="38"/>
    </x:row>
    <x:row r="25" ht="15.949999809265137" customHeight="1">
      <x:c r="A25" s="75"/>
      <x:c r="B25" s="82"/>
      <x:c r="C25" s="82"/>
      <x:c r="D25" s="83"/>
      <x:c r="E25" s="93"/>
      <x:c r="F25" s="84">
        <x:f t="shared" si="2"/>
        <x:v>0</x:v>
      </x:c>
      <x:c r="G25" s="224"/>
      <x:c r="H25" s="225"/>
      <x:c r="I25" s="225"/>
      <x:c r="J25" s="225"/>
      <x:c r="K25" s="225"/>
      <x:c r="L25" s="225"/>
      <x:c r="M25" s="225"/>
      <x:c r="N25" s="117"/>
      <x:c r="O25" s="85"/>
      <x:c r="P25" s="85"/>
      <x:c r="Q25" s="106"/>
      <x:c r="R25" s="106"/>
      <x:c r="S25" s="106"/>
      <x:c r="T25" s="106"/>
      <x:c r="U25" s="106"/>
    </x:row>
    <x:row r="26" ht="15.949999809265137" customHeight="1">
      <x:c r="A26" s="75"/>
      <x:c r="B26" s="82"/>
      <x:c r="C26" s="82"/>
      <x:c r="D26" s="83"/>
      <x:c r="E26" s="93"/>
      <x:c r="F26" s="84">
        <x:f t="shared" si="2"/>
        <x:v>0</x:v>
      </x:c>
      <x:c r="G26" s="224"/>
      <x:c r="H26" s="225"/>
      <x:c r="I26" s="225"/>
      <x:c r="J26" s="225"/>
      <x:c r="K26" s="225"/>
      <x:c r="L26" s="225"/>
      <x:c r="M26" s="225"/>
      <x:c r="N26" s="117"/>
      <x:c r="O26" s="85"/>
      <x:c r="P26" s="85"/>
      <x:c r="Q26" s="38"/>
      <x:c r="R26" s="38"/>
      <x:c r="S26" s="38"/>
      <x:c r="T26" s="38"/>
      <x:c r="U26" s="38"/>
    </x:row>
    <x:row r="27" ht="15.949999809265137" customHeight="1">
      <x:c r="A27" s="75"/>
      <x:c r="B27" s="82"/>
      <x:c r="C27" s="82"/>
      <x:c r="D27" s="83"/>
      <x:c r="E27" s="83"/>
      <x:c r="F27" s="84">
        <x:f t="shared" si="2"/>
        <x:v>0</x:v>
      </x:c>
      <x:c r="G27" s="224"/>
      <x:c r="H27" s="225"/>
      <x:c r="I27" s="225"/>
      <x:c r="J27" s="225"/>
      <x:c r="K27" s="225"/>
      <x:c r="L27" s="225"/>
      <x:c r="M27" s="225"/>
      <x:c r="N27" s="117"/>
      <x:c r="O27" s="85"/>
      <x:c r="P27" s="85"/>
      <x:c r="Q27" s="38"/>
      <x:c r="R27" s="38"/>
      <x:c r="S27" s="38"/>
      <x:c r="T27" s="38"/>
      <x:c r="U27" s="38"/>
    </x:row>
    <x:row r="28" ht="21" customHeight="1">
      <x:c r="N28" s="131" t="n">
        <x:f>SUM(N23:N27)</x:f>
        <x:v>0</x:v>
      </x:c>
      <x:c r="O28" s="36"/>
    </x:row>
    <x:row r="29" ht="21" customHeight="1">
      <x:c r="O29" s="36"/>
    </x:row>
    <x:row r="30" ht="26.100000381469727" customHeight="1">
      <x:c r="A30" s="105">
        <x:v>14</x:v>
      </x:c>
      <x:c r="B30" s="221" t="s">
        <x:v>41</x:v>
      </x:c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49"/>
    </x:row>
    <x:row r="31" ht="15.75" customHeight="1">
      <x:c r="A31" s="75"/>
      <x:c r="B31" s="26" t="s">
        <x:v>23</x:v>
      </x:c>
      <x:c r="C31" s="26" t="s">
        <x:v>20</x:v>
      </x:c>
      <x:c r="D31" s="28">
        <x:v>46140</x:v>
      </x:c>
      <x:c r="E31" s="28">
        <x:v>46141</x:v>
      </x:c>
      <x:c r="F31" s="84" t="n">
        <x:f>DAYS360(D31,E31)</x:f>
        <x:v>1</x:v>
      </x:c>
      <x:c r="G31" s="224"/>
      <x:c r="H31" s="225"/>
      <x:c r="I31" s="225"/>
      <x:c r="J31" s="225"/>
      <x:c r="K31" s="225"/>
      <x:c r="L31" s="225"/>
      <x:c r="M31" s="225"/>
      <x:c r="N31" s="117"/>
      <x:c r="O31" s="85"/>
      <x:c r="P31" s="85"/>
    </x:row>
    <x:row r="32" ht="15.75" customHeight="1">
      <x:c r="A32" s="75"/>
      <x:c r="B32" s="82"/>
      <x:c r="C32" s="82"/>
      <x:c r="D32" s="83"/>
      <x:c r="E32" s="83"/>
      <x:c r="F32" s="84" t="e">
        <x:f t="shared" ref="F32:F35" si="3">DAYS360(D32,E32)</x:f>
      </x:c>
      <x:c r="G32" s="224"/>
      <x:c r="H32" s="225"/>
      <x:c r="I32" s="225"/>
      <x:c r="J32" s="225"/>
      <x:c r="K32" s="225"/>
      <x:c r="L32" s="225"/>
      <x:c r="M32" s="225"/>
      <x:c r="N32" s="117"/>
      <x:c r="O32" s="85"/>
      <x:c r="P32" s="85"/>
    </x:row>
    <x:row r="33" ht="15.75" customHeight="1">
      <x:c r="A33" s="75"/>
      <x:c r="B33" s="82"/>
      <x:c r="C33" s="82"/>
      <x:c r="D33" s="83"/>
      <x:c r="E33" s="93"/>
      <x:c r="F33" s="84">
        <x:f t="shared" si="3"/>
        <x:v>0</x:v>
      </x:c>
      <x:c r="G33" s="224"/>
      <x:c r="H33" s="225"/>
      <x:c r="I33" s="225"/>
      <x:c r="J33" s="225"/>
      <x:c r="K33" s="225"/>
      <x:c r="L33" s="225"/>
      <x:c r="M33" s="225"/>
      <x:c r="N33" s="117"/>
      <x:c r="O33" s="85"/>
      <x:c r="P33" s="85"/>
    </x:row>
    <x:row r="34" ht="15.75" customHeight="1">
      <x:c r="A34" s="75"/>
      <x:c r="B34" s="82"/>
      <x:c r="C34" s="82"/>
      <x:c r="D34" s="83"/>
      <x:c r="E34" s="93"/>
      <x:c r="F34" s="84">
        <x:f t="shared" si="3"/>
        <x:v>0</x:v>
      </x:c>
      <x:c r="G34" s="224"/>
      <x:c r="H34" s="225"/>
      <x:c r="I34" s="225"/>
      <x:c r="J34" s="225"/>
      <x:c r="K34" s="225"/>
      <x:c r="L34" s="225"/>
      <x:c r="M34" s="225"/>
      <x:c r="N34" s="117"/>
      <x:c r="O34" s="85"/>
      <x:c r="P34" s="85"/>
    </x:row>
    <x:row r="35" ht="15.75" customHeight="1">
      <x:c r="A35" s="75"/>
      <x:c r="B35" s="82"/>
      <x:c r="C35" s="82"/>
      <x:c r="D35" s="83"/>
      <x:c r="E35" s="83"/>
      <x:c r="F35" s="84">
        <x:f t="shared" si="3"/>
        <x:v>0</x:v>
      </x:c>
      <x:c r="G35" s="224"/>
      <x:c r="H35" s="225"/>
      <x:c r="I35" s="225"/>
      <x:c r="J35" s="225"/>
      <x:c r="K35" s="225"/>
      <x:c r="L35" s="225"/>
      <x:c r="M35" s="225"/>
      <x:c r="N35" s="117"/>
      <x:c r="O35" s="85"/>
      <x:c r="P35" s="85"/>
    </x:row>
    <x:row r="36" ht="15.75" customHeight="1">
      <x:c r="N36" s="131" t="n">
        <x:f>SUM(N31:N35)</x:f>
        <x:v>0</x:v>
      </x:c>
      <x:c r="O36" s="36"/>
    </x:row>
    <x:row r="37" ht="15.75" customHeight="1">
      <x:c r="O37" s="36"/>
    </x:row>
    <x:row r="38" ht="26.100000381469727" customHeight="1">
      <x:c r="A38" s="105">
        <x:v>15</x:v>
      </x:c>
      <x:c r="B38" s="221" t="s">
        <x:v>42</x:v>
      </x:c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49"/>
    </x:row>
    <x:row r="39" ht="15.75" customHeight="1">
      <x:c r="A39" s="75"/>
      <x:c r="B39" s="26" t="s">
        <x:v>23</x:v>
      </x:c>
      <x:c r="C39" s="26" t="s">
        <x:v>20</x:v>
      </x:c>
      <x:c r="D39" s="28">
        <x:v>46140</x:v>
      </x:c>
      <x:c r="E39" s="28">
        <x:v>46141</x:v>
      </x:c>
      <x:c r="F39" s="84" t="n">
        <x:f>DAYS360(D39,E39)</x:f>
        <x:v>1</x:v>
      </x:c>
      <x:c r="G39" s="224"/>
      <x:c r="H39" s="225"/>
      <x:c r="I39" s="225"/>
      <x:c r="J39" s="225"/>
      <x:c r="K39" s="225"/>
      <x:c r="L39" s="225"/>
      <x:c r="M39" s="225"/>
      <x:c r="N39" s="117"/>
      <x:c r="O39" s="85"/>
      <x:c r="P39" s="85"/>
    </x:row>
    <x:row r="40" ht="15.75" customHeight="1">
      <x:c r="A40" s="75"/>
      <x:c r="B40" s="82"/>
      <x:c r="C40" s="82"/>
      <x:c r="D40" s="83"/>
      <x:c r="E40" s="83"/>
      <x:c r="F40" s="84" t="e">
        <x:f t="shared" ref="F40:F43" si="4">DAYS360(D40,E40)</x:f>
      </x:c>
      <x:c r="G40" s="224"/>
      <x:c r="H40" s="225"/>
      <x:c r="I40" s="225"/>
      <x:c r="J40" s="225"/>
      <x:c r="K40" s="225"/>
      <x:c r="L40" s="225"/>
      <x:c r="M40" s="225"/>
      <x:c r="N40" s="117"/>
      <x:c r="O40" s="85"/>
      <x:c r="P40" s="85"/>
    </x:row>
    <x:row r="41" ht="15.75" customHeight="1">
      <x:c r="A41" s="75"/>
      <x:c r="B41" s="82"/>
      <x:c r="C41" s="82"/>
      <x:c r="D41" s="83"/>
      <x:c r="E41" s="93"/>
      <x:c r="F41" s="84">
        <x:f t="shared" si="4"/>
        <x:v>0</x:v>
      </x:c>
      <x:c r="G41" s="224"/>
      <x:c r="H41" s="225"/>
      <x:c r="I41" s="225"/>
      <x:c r="J41" s="225"/>
      <x:c r="K41" s="225"/>
      <x:c r="L41" s="225"/>
      <x:c r="M41" s="225"/>
      <x:c r="N41" s="117"/>
      <x:c r="O41" s="85"/>
      <x:c r="P41" s="85"/>
    </x:row>
    <x:row r="42" ht="15.75" customHeight="1">
      <x:c r="A42" s="75"/>
      <x:c r="B42" s="82"/>
      <x:c r="C42" s="82"/>
      <x:c r="D42" s="83"/>
      <x:c r="E42" s="93"/>
      <x:c r="F42" s="84">
        <x:f t="shared" si="4"/>
        <x:v>0</x:v>
      </x:c>
      <x:c r="G42" s="224"/>
      <x:c r="H42" s="225"/>
      <x:c r="I42" s="225"/>
      <x:c r="J42" s="225"/>
      <x:c r="K42" s="225"/>
      <x:c r="L42" s="225"/>
      <x:c r="M42" s="225"/>
      <x:c r="N42" s="117"/>
      <x:c r="O42" s="85"/>
      <x:c r="P42" s="85"/>
    </x:row>
    <x:row r="43" ht="15.75" customHeight="1">
      <x:c r="A43" s="75"/>
      <x:c r="B43" s="82"/>
      <x:c r="C43" s="82"/>
      <x:c r="D43" s="83"/>
      <x:c r="E43" s="83"/>
      <x:c r="F43" s="84">
        <x:f t="shared" si="4"/>
        <x:v>0</x:v>
      </x:c>
      <x:c r="G43" s="224"/>
      <x:c r="H43" s="225"/>
      <x:c r="I43" s="225"/>
      <x:c r="J43" s="225"/>
      <x:c r="K43" s="225"/>
      <x:c r="L43" s="225"/>
      <x:c r="M43" s="225"/>
      <x:c r="N43" s="117"/>
      <x:c r="O43" s="85"/>
      <x:c r="P43" s="85"/>
    </x:row>
    <x:row r="44" ht="15.75" customHeight="1">
      <x:c r="N44" s="131" t="n">
        <x:f>SUM(N39:N43)</x:f>
        <x:v>0</x:v>
      </x:c>
      <x:c r="O44" s="36"/>
    </x:row>
    <x:row r="45" ht="15.75" customHeight="1">
      <x:c r="O45" s="36"/>
    </x:row>
    <x:row r="46" ht="26.100000381469727" customHeight="1">
      <x:c r="A46" s="105">
        <x:v>16</x:v>
      </x:c>
      <x:c r="B46" s="221" t="s">
        <x:v>43</x:v>
      </x:c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49"/>
    </x:row>
    <x:row r="47" ht="15.75" customHeight="1">
      <x:c r="A47" s="75"/>
      <x:c r="B47" s="26" t="s">
        <x:v>23</x:v>
      </x:c>
      <x:c r="C47" s="26" t="s">
        <x:v>20</x:v>
      </x:c>
      <x:c r="D47" s="28">
        <x:v>46140</x:v>
      </x:c>
      <x:c r="E47" s="28">
        <x:v>46141</x:v>
      </x:c>
      <x:c r="F47" s="84" t="n">
        <x:f>DAYS360(D47,E47)</x:f>
        <x:v>1</x:v>
      </x:c>
      <x:c r="G47" s="224"/>
      <x:c r="H47" s="225"/>
      <x:c r="I47" s="225"/>
      <x:c r="J47" s="225"/>
      <x:c r="K47" s="225"/>
      <x:c r="L47" s="225"/>
      <x:c r="M47" s="225"/>
      <x:c r="N47" s="117"/>
      <x:c r="O47" s="85"/>
      <x:c r="P47" s="85"/>
    </x:row>
    <x:row r="48" ht="15.75" customHeight="1">
      <x:c r="A48" s="75"/>
      <x:c r="B48" s="82"/>
      <x:c r="C48" s="82"/>
      <x:c r="D48" s="83"/>
      <x:c r="E48" s="83"/>
      <x:c r="F48" s="84" t="e">
        <x:f t="shared" ref="F48:F51" si="5">DAYS360(D48,E48)</x:f>
      </x:c>
      <x:c r="G48" s="224"/>
      <x:c r="H48" s="225"/>
      <x:c r="I48" s="225"/>
      <x:c r="J48" s="225"/>
      <x:c r="K48" s="225"/>
      <x:c r="L48" s="225"/>
      <x:c r="M48" s="225"/>
      <x:c r="N48" s="117"/>
      <x:c r="O48" s="85"/>
      <x:c r="P48" s="85"/>
    </x:row>
    <x:row r="49" ht="15.75" customHeight="1">
      <x:c r="A49" s="75"/>
      <x:c r="B49" s="82"/>
      <x:c r="C49" s="82"/>
      <x:c r="D49" s="83"/>
      <x:c r="E49" s="93"/>
      <x:c r="F49" s="84">
        <x:f t="shared" si="5"/>
        <x:v>0</x:v>
      </x:c>
      <x:c r="G49" s="224"/>
      <x:c r="H49" s="225"/>
      <x:c r="I49" s="225"/>
      <x:c r="J49" s="225"/>
      <x:c r="K49" s="225"/>
      <x:c r="L49" s="225"/>
      <x:c r="M49" s="225"/>
      <x:c r="N49" s="117"/>
      <x:c r="O49" s="85"/>
      <x:c r="P49" s="85"/>
    </x:row>
    <x:row r="50" ht="15.75" customHeight="1">
      <x:c r="A50" s="75"/>
      <x:c r="B50" s="82"/>
      <x:c r="C50" s="82"/>
      <x:c r="D50" s="83"/>
      <x:c r="E50" s="93"/>
      <x:c r="F50" s="84">
        <x:f t="shared" si="5"/>
        <x:v>0</x:v>
      </x:c>
      <x:c r="G50" s="224"/>
      <x:c r="H50" s="225"/>
      <x:c r="I50" s="225"/>
      <x:c r="J50" s="225"/>
      <x:c r="K50" s="225"/>
      <x:c r="L50" s="225"/>
      <x:c r="M50" s="225"/>
      <x:c r="N50" s="117"/>
      <x:c r="O50" s="85"/>
      <x:c r="P50" s="85"/>
    </x:row>
    <x:row r="51" ht="15.75" customHeight="1">
      <x:c r="A51" s="75"/>
      <x:c r="B51" s="82"/>
      <x:c r="C51" s="82"/>
      <x:c r="D51" s="83"/>
      <x:c r="E51" s="83"/>
      <x:c r="F51" s="84">
        <x:f t="shared" si="5"/>
        <x:v>0</x:v>
      </x:c>
      <x:c r="G51" s="224"/>
      <x:c r="H51" s="225"/>
      <x:c r="I51" s="225"/>
      <x:c r="J51" s="225"/>
      <x:c r="K51" s="225"/>
      <x:c r="L51" s="225"/>
      <x:c r="M51" s="225"/>
      <x:c r="N51" s="117"/>
      <x:c r="O51" s="85"/>
      <x:c r="P51" s="85"/>
    </x:row>
    <x:row r="52" ht="15.75" customHeight="1">
      <x:c r="N52" s="131" t="n">
        <x:f>SUM(N47:N51)</x:f>
        <x:v>0</x:v>
      </x:c>
      <x:c r="O52" s="36"/>
    </x:row>
    <x:row r="53" ht="15.75" customHeight="1">
      <x:c r="O53" s="36"/>
    </x:row>
    <x:row r="54" ht="26.100000381469727" customHeight="1">
      <x:c r="A54" s="105">
        <x:v>17</x:v>
      </x:c>
      <x:c r="B54" s="221" t="s">
        <x:v>44</x:v>
      </x:c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49"/>
    </x:row>
    <x:row r="55" ht="15.75" customHeight="1">
      <x:c r="A55" s="75"/>
      <x:c r="B55" s="26" t="s">
        <x:v>23</x:v>
      </x:c>
      <x:c r="C55" s="26" t="s">
        <x:v>20</x:v>
      </x:c>
      <x:c r="D55" s="28">
        <x:v>46140</x:v>
      </x:c>
      <x:c r="E55" s="28">
        <x:v>46141</x:v>
      </x:c>
      <x:c r="F55" s="84" t="n">
        <x:f>DAYS360(D55,E55)</x:f>
        <x:v>1</x:v>
      </x:c>
      <x:c r="G55" s="224"/>
      <x:c r="H55" s="225"/>
      <x:c r="I55" s="225"/>
      <x:c r="J55" s="225"/>
      <x:c r="K55" s="225"/>
      <x:c r="L55" s="225"/>
      <x:c r="M55" s="225"/>
      <x:c r="N55" s="117"/>
      <x:c r="O55" s="85"/>
      <x:c r="P55" s="85"/>
    </x:row>
    <x:row r="56" ht="15.75" customHeight="1">
      <x:c r="A56" s="75"/>
      <x:c r="B56" s="82"/>
      <x:c r="C56" s="82"/>
      <x:c r="D56" s="83"/>
      <x:c r="E56" s="83"/>
      <x:c r="F56" s="84" t="e">
        <x:f t="shared" ref="F56:F59" si="6">DAYS360(D56,E56)</x:f>
      </x:c>
      <x:c r="G56" s="224"/>
      <x:c r="H56" s="225"/>
      <x:c r="I56" s="225"/>
      <x:c r="J56" s="225"/>
      <x:c r="K56" s="225"/>
      <x:c r="L56" s="225"/>
      <x:c r="M56" s="225"/>
      <x:c r="N56" s="117"/>
      <x:c r="O56" s="85"/>
      <x:c r="P56" s="85"/>
    </x:row>
    <x:row r="57" ht="15.75" customHeight="1">
      <x:c r="A57" s="75"/>
      <x:c r="B57" s="82"/>
      <x:c r="C57" s="82"/>
      <x:c r="D57" s="83"/>
      <x:c r="E57" s="93"/>
      <x:c r="F57" s="84">
        <x:f t="shared" si="6"/>
        <x:v>0</x:v>
      </x:c>
      <x:c r="G57" s="224"/>
      <x:c r="H57" s="225"/>
      <x:c r="I57" s="225"/>
      <x:c r="J57" s="225"/>
      <x:c r="K57" s="225"/>
      <x:c r="L57" s="225"/>
      <x:c r="M57" s="225"/>
      <x:c r="N57" s="117"/>
      <x:c r="O57" s="85"/>
      <x:c r="P57" s="85"/>
    </x:row>
    <x:row r="58" ht="15.75" customHeight="1">
      <x:c r="A58" s="75"/>
      <x:c r="B58" s="82"/>
      <x:c r="C58" s="82"/>
      <x:c r="D58" s="83"/>
      <x:c r="E58" s="93"/>
      <x:c r="F58" s="84">
        <x:f t="shared" si="6"/>
        <x:v>0</x:v>
      </x:c>
      <x:c r="G58" s="224"/>
      <x:c r="H58" s="225"/>
      <x:c r="I58" s="225"/>
      <x:c r="J58" s="225"/>
      <x:c r="K58" s="225"/>
      <x:c r="L58" s="225"/>
      <x:c r="M58" s="225"/>
      <x:c r="N58" s="117"/>
      <x:c r="O58" s="85"/>
      <x:c r="P58" s="85"/>
    </x:row>
    <x:row r="59" ht="15.75" customHeight="1">
      <x:c r="A59" s="75"/>
      <x:c r="B59" s="82"/>
      <x:c r="C59" s="82"/>
      <x:c r="D59" s="83"/>
      <x:c r="E59" s="83"/>
      <x:c r="F59" s="84">
        <x:f t="shared" si="6"/>
        <x:v>0</x:v>
      </x:c>
      <x:c r="G59" s="224"/>
      <x:c r="H59" s="225"/>
      <x:c r="I59" s="225"/>
      <x:c r="J59" s="225"/>
      <x:c r="K59" s="225"/>
      <x:c r="L59" s="225"/>
      <x:c r="M59" s="225"/>
      <x:c r="N59" s="117"/>
      <x:c r="O59" s="85"/>
      <x:c r="P59" s="85"/>
    </x:row>
    <x:row r="60" ht="15.75" customHeight="1">
      <x:c r="N60" s="131" t="n">
        <x:f>SUM(N55:N59)</x:f>
        <x:v>0</x:v>
      </x:c>
      <x:c r="O60" s="36"/>
    </x:row>
    <x:row r="61" ht="15.75" customHeight="1">
      <x:c r="O61" s="36"/>
    </x:row>
    <x:row r="62" ht="26.100000381469727" customHeight="1">
      <x:c r="A62" s="105">
        <x:v>18</x:v>
      </x:c>
      <x:c r="B62" s="221" t="s">
        <x:v>45</x:v>
      </x:c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  <x:c r="P62" s="49"/>
    </x:row>
    <x:row r="63" ht="15.75" customHeight="1">
      <x:c r="A63" s="75"/>
      <x:c r="B63" s="26" t="s">
        <x:v>23</x:v>
      </x:c>
      <x:c r="C63" s="26" t="s">
        <x:v>20</x:v>
      </x:c>
      <x:c r="D63" s="28">
        <x:v>46140</x:v>
      </x:c>
      <x:c r="E63" s="28">
        <x:v>46141</x:v>
      </x:c>
      <x:c r="F63" s="84" t="n">
        <x:f>DAYS360(D63,E63)</x:f>
        <x:v>1</x:v>
      </x:c>
      <x:c r="G63" s="224"/>
      <x:c r="H63" s="225"/>
      <x:c r="I63" s="225"/>
      <x:c r="J63" s="225"/>
      <x:c r="K63" s="225"/>
      <x:c r="L63" s="225"/>
      <x:c r="M63" s="225"/>
      <x:c r="N63" s="117"/>
      <x:c r="O63" s="85"/>
      <x:c r="P63" s="85"/>
    </x:row>
    <x:row r="64" ht="15.75" customHeight="1">
      <x:c r="A64" s="75"/>
      <x:c r="B64" s="82"/>
      <x:c r="C64" s="82"/>
      <x:c r="D64" s="83"/>
      <x:c r="E64" s="83"/>
      <x:c r="F64" s="84" t="e">
        <x:f t="shared" ref="F64:F67" si="7">DAYS360(D64,E64)</x:f>
      </x:c>
      <x:c r="G64" s="224"/>
      <x:c r="H64" s="225"/>
      <x:c r="I64" s="225"/>
      <x:c r="J64" s="225"/>
      <x:c r="K64" s="225"/>
      <x:c r="L64" s="225"/>
      <x:c r="M64" s="225"/>
      <x:c r="N64" s="117"/>
      <x:c r="O64" s="85"/>
      <x:c r="P64" s="85"/>
    </x:row>
    <x:row r="65" ht="15.75" customHeight="1">
      <x:c r="A65" s="75"/>
      <x:c r="B65" s="82"/>
      <x:c r="C65" s="82"/>
      <x:c r="D65" s="83"/>
      <x:c r="E65" s="93"/>
      <x:c r="F65" s="84">
        <x:f t="shared" si="7"/>
        <x:v>0</x:v>
      </x:c>
      <x:c r="G65" s="224"/>
      <x:c r="H65" s="225"/>
      <x:c r="I65" s="225"/>
      <x:c r="J65" s="225"/>
      <x:c r="K65" s="225"/>
      <x:c r="L65" s="225"/>
      <x:c r="M65" s="225"/>
      <x:c r="N65" s="117"/>
      <x:c r="O65" s="85"/>
      <x:c r="P65" s="85"/>
    </x:row>
    <x:row r="66" ht="15.75" customHeight="1">
      <x:c r="A66" s="75"/>
      <x:c r="B66" s="82"/>
      <x:c r="C66" s="82"/>
      <x:c r="D66" s="83"/>
      <x:c r="E66" s="93"/>
      <x:c r="F66" s="84">
        <x:f t="shared" si="7"/>
        <x:v>0</x:v>
      </x:c>
      <x:c r="G66" s="224"/>
      <x:c r="H66" s="225"/>
      <x:c r="I66" s="225"/>
      <x:c r="J66" s="225"/>
      <x:c r="K66" s="225"/>
      <x:c r="L66" s="225"/>
      <x:c r="M66" s="225"/>
      <x:c r="N66" s="117"/>
      <x:c r="O66" s="85"/>
      <x:c r="P66" s="85"/>
    </x:row>
    <x:row r="67" ht="15.75" customHeight="1">
      <x:c r="A67" s="75"/>
      <x:c r="B67" s="82"/>
      <x:c r="C67" s="82"/>
      <x:c r="D67" s="83"/>
      <x:c r="E67" s="83"/>
      <x:c r="F67" s="84">
        <x:f t="shared" si="7"/>
        <x:v>0</x:v>
      </x:c>
      <x:c r="G67" s="224"/>
      <x:c r="H67" s="225"/>
      <x:c r="I67" s="225"/>
      <x:c r="J67" s="225"/>
      <x:c r="K67" s="225"/>
      <x:c r="L67" s="225"/>
      <x:c r="M67" s="225"/>
      <x:c r="N67" s="117"/>
      <x:c r="O67" s="85"/>
      <x:c r="P67" s="85"/>
    </x:row>
    <x:row r="68" ht="15.75" customHeight="1">
      <x:c r="N68" s="131" t="n">
        <x:f>SUM(N63:N67)</x:f>
        <x:v>0</x:v>
      </x:c>
      <x:c r="O68" s="36"/>
    </x:row>
    <x:row r="69" ht="15.75" customHeight="1">
      <x:c r="O69" s="36"/>
    </x:row>
    <x:row r="70" ht="26.100000381469727" customHeight="1">
      <x:c r="A70" s="105">
        <x:v>19</x:v>
      </x:c>
      <x:c r="B70" s="221" t="s">
        <x:v>46</x:v>
      </x:c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49"/>
    </x:row>
    <x:row r="71" ht="15.75" customHeight="1">
      <x:c r="A71" s="75"/>
      <x:c r="B71" s="26" t="s">
        <x:v>23</x:v>
      </x:c>
      <x:c r="C71" s="26" t="s">
        <x:v>20</x:v>
      </x:c>
      <x:c r="D71" s="28">
        <x:v>46140</x:v>
      </x:c>
      <x:c r="E71" s="28">
        <x:v>46141</x:v>
      </x:c>
      <x:c r="F71" s="84" t="n">
        <x:f>DAYS360(D71,E71)</x:f>
        <x:v>1</x:v>
      </x:c>
      <x:c r="G71" s="224"/>
      <x:c r="H71" s="225"/>
      <x:c r="I71" s="225"/>
      <x:c r="J71" s="225"/>
      <x:c r="K71" s="225"/>
      <x:c r="L71" s="225"/>
      <x:c r="M71" s="225"/>
      <x:c r="N71" s="117"/>
      <x:c r="O71" s="85"/>
      <x:c r="P71" s="85"/>
    </x:row>
    <x:row r="72" ht="15.75" customHeight="1">
      <x:c r="A72" s="75"/>
      <x:c r="B72" s="82"/>
      <x:c r="C72" s="82"/>
      <x:c r="D72" s="83"/>
      <x:c r="E72" s="83"/>
      <x:c r="F72" s="84" t="e">
        <x:f t="shared" ref="F72:F75" si="8">DAYS360(D72,E72)</x:f>
      </x:c>
      <x:c r="G72" s="224"/>
      <x:c r="H72" s="225"/>
      <x:c r="I72" s="225"/>
      <x:c r="J72" s="225"/>
      <x:c r="K72" s="225"/>
      <x:c r="L72" s="225"/>
      <x:c r="M72" s="225"/>
      <x:c r="N72" s="117"/>
      <x:c r="O72" s="85"/>
      <x:c r="P72" s="85"/>
    </x:row>
    <x:row r="73" ht="15.75" customHeight="1">
      <x:c r="A73" s="75"/>
      <x:c r="B73" s="82"/>
      <x:c r="C73" s="82"/>
      <x:c r="D73" s="83"/>
      <x:c r="E73" s="93"/>
      <x:c r="F73" s="84">
        <x:f t="shared" si="8"/>
        <x:v>0</x:v>
      </x:c>
      <x:c r="G73" s="224"/>
      <x:c r="H73" s="225"/>
      <x:c r="I73" s="225"/>
      <x:c r="J73" s="225"/>
      <x:c r="K73" s="225"/>
      <x:c r="L73" s="225"/>
      <x:c r="M73" s="225"/>
      <x:c r="N73" s="117"/>
      <x:c r="O73" s="85"/>
      <x:c r="P73" s="85"/>
    </x:row>
    <x:row r="74" ht="15.75" customHeight="1">
      <x:c r="A74" s="75"/>
      <x:c r="B74" s="82"/>
      <x:c r="C74" s="82"/>
      <x:c r="D74" s="83"/>
      <x:c r="E74" s="93"/>
      <x:c r="F74" s="84">
        <x:f t="shared" si="8"/>
        <x:v>0</x:v>
      </x:c>
      <x:c r="G74" s="224"/>
      <x:c r="H74" s="225"/>
      <x:c r="I74" s="225"/>
      <x:c r="J74" s="225"/>
      <x:c r="K74" s="225"/>
      <x:c r="L74" s="225"/>
      <x:c r="M74" s="225"/>
      <x:c r="N74" s="117"/>
      <x:c r="O74" s="85"/>
      <x:c r="P74" s="85"/>
    </x:row>
    <x:row r="75" ht="15.75" customHeight="1">
      <x:c r="A75" s="75"/>
      <x:c r="B75" s="82"/>
      <x:c r="C75" s="82"/>
      <x:c r="D75" s="83"/>
      <x:c r="E75" s="83"/>
      <x:c r="F75" s="84">
        <x:f t="shared" si="8"/>
        <x:v>0</x:v>
      </x:c>
      <x:c r="G75" s="224"/>
      <x:c r="H75" s="225"/>
      <x:c r="I75" s="225"/>
      <x:c r="J75" s="225"/>
      <x:c r="K75" s="225"/>
      <x:c r="L75" s="225"/>
      <x:c r="M75" s="225"/>
      <x:c r="N75" s="117"/>
      <x:c r="O75" s="85"/>
      <x:c r="P75" s="85"/>
    </x:row>
    <x:row r="76" ht="15.75" customHeight="1">
      <x:c r="N76" s="131" t="n">
        <x:f>SUM(N71:N75)</x:f>
        <x:v>0</x:v>
      </x:c>
      <x:c r="O76" s="36"/>
    </x:row>
    <x:row r="77" ht="15.75" customHeight="1">
      <x:c r="O77" s="36"/>
    </x:row>
    <x:row r="78" ht="26.100000381469727" customHeight="1">
      <x:c r="A78" s="105">
        <x:v>20</x:v>
      </x:c>
      <x:c r="B78" s="221" t="s">
        <x:v>47</x:v>
      </x:c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49"/>
    </x:row>
    <x:row r="79" ht="15.75" customHeight="1">
      <x:c r="A79" s="75"/>
      <x:c r="B79" s="26" t="s">
        <x:v>23</x:v>
      </x:c>
      <x:c r="C79" s="26" t="s">
        <x:v>20</x:v>
      </x:c>
      <x:c r="D79" s="28">
        <x:v>46140</x:v>
      </x:c>
      <x:c r="E79" s="28">
        <x:v>46141</x:v>
      </x:c>
      <x:c r="F79" s="84" t="n">
        <x:f>DAYS360(D79,E79)</x:f>
        <x:v>1</x:v>
      </x:c>
      <x:c r="G79" s="224"/>
      <x:c r="H79" s="225"/>
      <x:c r="I79" s="225"/>
      <x:c r="J79" s="225"/>
      <x:c r="K79" s="225"/>
      <x:c r="L79" s="225"/>
      <x:c r="M79" s="225"/>
      <x:c r="N79" s="117"/>
      <x:c r="O79" s="85"/>
      <x:c r="P79" s="85"/>
    </x:row>
    <x:row r="80" ht="15.75" customHeight="1">
      <x:c r="A80" s="75"/>
      <x:c r="B80" s="82"/>
      <x:c r="C80" s="82"/>
      <x:c r="D80" s="83"/>
      <x:c r="E80" s="83"/>
      <x:c r="F80" s="84" t="e">
        <x:f t="shared" ref="F80:F83" si="9">DAYS360(D80,E80)</x:f>
      </x:c>
      <x:c r="G80" s="224"/>
      <x:c r="H80" s="225"/>
      <x:c r="I80" s="225"/>
      <x:c r="J80" s="225"/>
      <x:c r="K80" s="225"/>
      <x:c r="L80" s="225"/>
      <x:c r="M80" s="225"/>
      <x:c r="N80" s="117"/>
      <x:c r="O80" s="85"/>
      <x:c r="P80" s="85"/>
    </x:row>
    <x:row r="81" ht="15.75" customHeight="1">
      <x:c r="A81" s="75"/>
      <x:c r="B81" s="82"/>
      <x:c r="C81" s="82"/>
      <x:c r="D81" s="83"/>
      <x:c r="E81" s="93"/>
      <x:c r="F81" s="84">
        <x:f t="shared" si="9"/>
        <x:v>0</x:v>
      </x:c>
      <x:c r="G81" s="224"/>
      <x:c r="H81" s="225"/>
      <x:c r="I81" s="225"/>
      <x:c r="J81" s="225"/>
      <x:c r="K81" s="225"/>
      <x:c r="L81" s="225"/>
      <x:c r="M81" s="225"/>
      <x:c r="N81" s="117"/>
      <x:c r="O81" s="85"/>
      <x:c r="P81" s="85"/>
    </x:row>
    <x:row r="82" ht="15.75" customHeight="1">
      <x:c r="A82" s="75"/>
      <x:c r="B82" s="82"/>
      <x:c r="C82" s="82"/>
      <x:c r="D82" s="83"/>
      <x:c r="E82" s="93"/>
      <x:c r="F82" s="84">
        <x:f t="shared" si="9"/>
        <x:v>0</x:v>
      </x:c>
      <x:c r="G82" s="224"/>
      <x:c r="H82" s="225"/>
      <x:c r="I82" s="225"/>
      <x:c r="J82" s="225"/>
      <x:c r="K82" s="225"/>
      <x:c r="L82" s="225"/>
      <x:c r="M82" s="225"/>
      <x:c r="N82" s="117"/>
      <x:c r="O82" s="85"/>
      <x:c r="P82" s="85"/>
    </x:row>
    <x:row r="83" ht="15.75" customHeight="1">
      <x:c r="A83" s="75"/>
      <x:c r="B83" s="82"/>
      <x:c r="C83" s="82"/>
      <x:c r="D83" s="83"/>
      <x:c r="E83" s="83"/>
      <x:c r="F83" s="84">
        <x:f t="shared" si="9"/>
        <x:v>0</x:v>
      </x:c>
      <x:c r="G83" s="224"/>
      <x:c r="H83" s="225"/>
      <x:c r="I83" s="225"/>
      <x:c r="J83" s="225"/>
      <x:c r="K83" s="225"/>
      <x:c r="L83" s="225"/>
      <x:c r="M83" s="225"/>
      <x:c r="N83" s="117"/>
      <x:c r="O83" s="85"/>
      <x:c r="P83" s="85"/>
    </x:row>
    <x:row r="84" ht="15.75" customHeight="1">
      <x:c r="N84" s="131" t="n">
        <x:f>SUM(N79:N83)</x:f>
        <x:v>0</x:v>
      </x:c>
      <x:c r="O84" s="36"/>
    </x:row>
    <x:row r="85" ht="15.75" customHeight="1">
      <x:c r="O85" s="36"/>
    </x:row>
    <x:row r="86" ht="15.75" customHeight="1">
      <x:c r="O86" s="36"/>
    </x:row>
    <x:row r="87" ht="15.75" customHeight="1">
      <x:c r="O87" s="36"/>
    </x:row>
    <x:row r="88" ht="15.75" customHeight="1">
      <x:c r="O88" s="36"/>
    </x:row>
    <x:row r="89" ht="15.75" customHeight="1">
      <x:c r="O89" s="36"/>
    </x:row>
    <x:row r="90" ht="15.75" customHeight="1">
      <x:c r="O90" s="36"/>
    </x:row>
    <x:row r="91" ht="15.75" customHeight="1">
      <x:c r="O91" s="36"/>
    </x:row>
    <x:row r="92" ht="15.75" customHeight="1">
      <x:c r="O92" s="36"/>
    </x:row>
    <x:row r="93" ht="15.75" customHeight="1">
      <x:c r="O93" s="36"/>
    </x:row>
    <x:row r="94" ht="15.75" customHeight="1">
      <x:c r="O94" s="36"/>
    </x:row>
    <x:row r="95" ht="15.75" customHeight="1">
      <x:c r="O95" s="36"/>
    </x:row>
    <x:row r="96" ht="15.75" customHeight="1">
      <x:c r="O96" s="36"/>
    </x:row>
    <x:row r="97" ht="15.75" customHeight="1">
      <x:c r="O97" s="36"/>
    </x:row>
    <x:row r="98" ht="15.75" customHeight="1">
      <x:c r="O98" s="36"/>
    </x:row>
    <x:row r="99" ht="15.75" customHeight="1">
      <x:c r="O99" s="36"/>
    </x:row>
    <x:row r="100" ht="15.75" customHeight="1">
      <x:c r="O100" s="36"/>
    </x:row>
    <x:row r="101" ht="15.75" customHeight="1">
      <x:c r="O101" s="36"/>
    </x:row>
    <x:row r="102" ht="15.75" customHeight="1">
      <x:c r="O102" s="36"/>
    </x:row>
    <x:row r="103" ht="15.75" customHeight="1">
      <x:c r="O103" s="36"/>
    </x:row>
    <x:row r="104" ht="15.75" customHeight="1">
      <x:c r="O104" s="36"/>
    </x:row>
    <x:row r="105" ht="15.75" customHeight="1">
      <x:c r="O105" s="36"/>
    </x:row>
    <x:row r="106" ht="15.75" customHeight="1">
      <x:c r="O106" s="36"/>
    </x:row>
    <x:row r="107" ht="15.75" customHeight="1">
      <x:c r="O107" s="36"/>
    </x:row>
    <x:row r="108" ht="15.75" customHeight="1">
      <x:c r="O108" s="36"/>
    </x:row>
    <x:row r="109" ht="15.75" customHeight="1">
      <x:c r="O109" s="36"/>
    </x:row>
    <x:row r="110" ht="15.75" customHeight="1">
      <x:c r="O110" s="36"/>
    </x:row>
    <x:row r="111" ht="15.75" customHeight="1">
      <x:c r="O111" s="36"/>
    </x:row>
    <x:row r="112" ht="15.75" customHeight="1">
      <x:c r="O112" s="36"/>
    </x:row>
    <x:row r="113" ht="15.75" customHeight="1">
      <x:c r="O113" s="36"/>
    </x:row>
    <x:row r="114" ht="15.75" customHeight="1">
      <x:c r="O114" s="36"/>
    </x:row>
    <x:row r="115" ht="15.75" customHeight="1">
      <x:c r="O115" s="36"/>
    </x:row>
    <x:row r="116" ht="15.75" customHeight="1">
      <x:c r="O116" s="36"/>
    </x:row>
    <x:row r="117" ht="15.75" customHeight="1">
      <x:c r="O117" s="36"/>
    </x:row>
    <x:row r="118" ht="15.75" customHeight="1">
      <x:c r="O118" s="36"/>
    </x:row>
    <x:row r="119" ht="15.75" customHeight="1">
      <x:c r="O119" s="36"/>
    </x:row>
    <x:row r="120" ht="15.75" customHeight="1">
      <x:c r="O120" s="36"/>
    </x:row>
    <x:row r="121" ht="15.75" customHeight="1">
      <x:c r="O121" s="36"/>
    </x:row>
    <x:row r="122" ht="15.75" customHeight="1">
      <x:c r="O122" s="36"/>
    </x:row>
    <x:row r="123" ht="15.75" customHeight="1">
      <x:c r="O123" s="36"/>
    </x:row>
    <x:row r="124" ht="15.75" customHeight="1">
      <x:c r="O124" s="36"/>
    </x:row>
    <x:row r="125" ht="15.75" customHeight="1">
      <x:c r="O125" s="36"/>
    </x:row>
    <x:row r="126" ht="15.75" customHeight="1">
      <x:c r="O126" s="36"/>
    </x:row>
    <x:row r="127" ht="15.75" customHeight="1">
      <x:c r="O127" s="36"/>
    </x:row>
    <x:row r="128" ht="15.75" customHeight="1">
      <x:c r="O128" s="36"/>
    </x:row>
    <x:row r="129" ht="15.75" customHeight="1">
      <x:c r="O129" s="36"/>
    </x:row>
    <x:row r="130" ht="15.75" customHeight="1">
      <x:c r="O130" s="36"/>
    </x:row>
    <x:row r="131" ht="15.75" customHeight="1">
      <x:c r="O131" s="36"/>
    </x:row>
    <x:row r="132" ht="15.75" customHeight="1">
      <x:c r="O132" s="36"/>
    </x:row>
    <x:row r="133" ht="15.75" customHeight="1">
      <x:c r="O133" s="36"/>
    </x:row>
    <x:row r="134" ht="15.75" customHeight="1">
      <x:c r="O134" s="36"/>
    </x:row>
    <x:row r="135" ht="15.75" customHeight="1">
      <x:c r="O135" s="36"/>
    </x:row>
    <x:row r="136" ht="15.75" customHeight="1">
      <x:c r="O136" s="36"/>
    </x:row>
    <x:row r="137" ht="15.75" customHeight="1">
      <x:c r="O137" s="36"/>
    </x:row>
    <x:row r="138" ht="15.75" customHeight="1">
      <x:c r="O138" s="36"/>
    </x:row>
    <x:row r="139" ht="15.75" customHeight="1">
      <x:c r="O139" s="36"/>
    </x:row>
    <x:row r="140" ht="15.75" customHeight="1">
      <x:c r="O140" s="36"/>
    </x:row>
    <x:row r="141" ht="15.75" customHeight="1">
      <x:c r="O141" s="36"/>
    </x:row>
    <x:row r="142" ht="15.75" customHeight="1">
      <x:c r="O142" s="36"/>
    </x:row>
    <x:row r="143" ht="15.75" customHeight="1">
      <x:c r="O143" s="36"/>
    </x:row>
    <x:row r="144" ht="15.75" customHeight="1">
      <x:c r="O144" s="36"/>
    </x:row>
    <x:row r="145" ht="15.75" customHeight="1">
      <x:c r="O145" s="36"/>
    </x:row>
    <x:row r="146" ht="15.75" customHeight="1">
      <x:c r="O146" s="36"/>
    </x:row>
    <x:row r="147" ht="15.75" customHeight="1">
      <x:c r="O147" s="36"/>
    </x:row>
    <x:row r="148" ht="15.75" customHeight="1">
      <x:c r="O148" s="36"/>
    </x:row>
    <x:row r="149" ht="15.75" customHeight="1">
      <x:c r="O149" s="36"/>
    </x:row>
    <x:row r="150" ht="15.75" customHeight="1">
      <x:c r="O150" s="36"/>
    </x:row>
    <x:row r="151" ht="15.75" customHeight="1">
      <x:c r="O151" s="36"/>
    </x:row>
    <x:row r="152" ht="15.75" customHeight="1">
      <x:c r="O152" s="36"/>
    </x:row>
    <x:row r="153" ht="15.75" customHeight="1">
      <x:c r="O153" s="36"/>
    </x:row>
    <x:row r="154" ht="15.75" customHeight="1">
      <x:c r="O154" s="36"/>
    </x:row>
    <x:row r="155" ht="15.75" customHeight="1">
      <x:c r="O155" s="36"/>
    </x:row>
    <x:row r="156" ht="15.75" customHeight="1">
      <x:c r="O156" s="36"/>
    </x:row>
    <x:row r="157" ht="15.75" customHeight="1">
      <x:c r="O157" s="36"/>
    </x:row>
    <x:row r="158" ht="15.75" customHeight="1">
      <x:c r="O158" s="36"/>
    </x:row>
    <x:row r="159" ht="15.75" customHeight="1">
      <x:c r="O159" s="36"/>
    </x:row>
    <x:row r="160" ht="15.75" customHeight="1">
      <x:c r="O160" s="36"/>
    </x:row>
    <x:row r="161" ht="15.75" customHeight="1">
      <x:c r="O161" s="36"/>
    </x:row>
    <x:row r="162" ht="15.75" customHeight="1">
      <x:c r="O162" s="36"/>
    </x:row>
    <x:row r="163" ht="15.75" customHeight="1">
      <x:c r="O163" s="36"/>
    </x:row>
    <x:row r="164" ht="15.75" customHeight="1">
      <x:c r="O164" s="36"/>
    </x:row>
    <x:row r="165" ht="15.75" customHeight="1">
      <x:c r="O165" s="36"/>
    </x:row>
    <x:row r="166" ht="15.75" customHeight="1">
      <x:c r="O166" s="36"/>
    </x:row>
    <x:row r="167" ht="15.75" customHeight="1">
      <x:c r="O167" s="36"/>
    </x:row>
    <x:row r="168" ht="15.75" customHeight="1">
      <x:c r="O168" s="36"/>
    </x:row>
    <x:row r="169" ht="15.75" customHeight="1">
      <x:c r="O169" s="36"/>
    </x:row>
    <x:row r="170" ht="15.75" customHeight="1">
      <x:c r="O170" s="36"/>
    </x:row>
    <x:row r="171" ht="15.75" customHeight="1">
      <x:c r="O171" s="36"/>
    </x:row>
    <x:row r="172" ht="15.75" customHeight="1">
      <x:c r="O172" s="36"/>
    </x:row>
    <x:row r="173" ht="15.75" customHeight="1">
      <x:c r="O173" s="36"/>
    </x:row>
    <x:row r="174" ht="15.75" customHeight="1">
      <x:c r="O174" s="36"/>
    </x:row>
    <x:row r="175" ht="15.75" customHeight="1">
      <x:c r="O175" s="36"/>
    </x:row>
    <x:row r="176" ht="15.75" customHeight="1">
      <x:c r="O176" s="36"/>
    </x:row>
    <x:row r="177" ht="15.75" customHeight="1">
      <x:c r="O177" s="36"/>
    </x:row>
    <x:row r="178" ht="15.75" customHeight="1">
      <x:c r="O178" s="36"/>
    </x:row>
    <x:row r="179" ht="15.75" customHeight="1">
      <x:c r="O179" s="36"/>
    </x:row>
    <x:row r="180" ht="15.75" customHeight="1">
      <x:c r="O180" s="36"/>
    </x:row>
    <x:row r="181" ht="15.75" customHeight="1">
      <x:c r="O181" s="36"/>
    </x:row>
    <x:row r="182" ht="15.75" customHeight="1">
      <x:c r="O182" s="36"/>
    </x:row>
    <x:row r="183" ht="15.75" customHeight="1">
      <x:c r="O183" s="36"/>
    </x:row>
    <x:row r="184" ht="15.75" customHeight="1">
      <x:c r="O184" s="36"/>
    </x:row>
    <x:row r="185" ht="15.75" customHeight="1">
      <x:c r="O185" s="36"/>
    </x:row>
    <x:row r="186" ht="15.75" customHeight="1">
      <x:c r="O186" s="36"/>
    </x:row>
    <x:row r="187" ht="15.75" customHeight="1">
      <x:c r="O187" s="36"/>
    </x:row>
    <x:row r="188" ht="15.75" customHeight="1">
      <x:c r="O188" s="36"/>
    </x:row>
    <x:row r="189" ht="15.75" customHeight="1">
      <x:c r="O189" s="36"/>
    </x:row>
    <x:row r="190" ht="15.75" customHeight="1">
      <x:c r="O190" s="36"/>
    </x:row>
    <x:row r="191" ht="15.75" customHeight="1">
      <x:c r="O191" s="36"/>
    </x:row>
    <x:row r="192" ht="15.75" customHeight="1">
      <x:c r="O192" s="36"/>
    </x:row>
    <x:row r="193" ht="15.75" customHeight="1">
      <x:c r="O193" s="36"/>
    </x:row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</x:sheetData>
  <x:mergeCells>
    <x:mergeCell ref="G82:M82"/>
    <x:mergeCell ref="G83:M83"/>
    <x:mergeCell ref="G5:M5"/>
    <x:mergeCell ref="G74:M74"/>
    <x:mergeCell ref="G75:M75"/>
    <x:mergeCell ref="G79:M79"/>
    <x:mergeCell ref="G80:M80"/>
    <x:mergeCell ref="G81:M81"/>
    <x:mergeCell ref="G66:M66"/>
    <x:mergeCell ref="G67:M67"/>
    <x:mergeCell ref="G71:M71"/>
    <x:mergeCell ref="G72:M72"/>
    <x:mergeCell ref="G73:M73"/>
    <x:mergeCell ref="G58:M58"/>
    <x:mergeCell ref="G59:M59"/>
    <x:mergeCell ref="G63:M63"/>
    <x:mergeCell ref="G65:M65"/>
    <x:mergeCell ref="G42:M42"/>
    <x:mergeCell ref="G43:M43"/>
    <x:mergeCell ref="G47:M47"/>
    <x:mergeCell ref="G48:M48"/>
    <x:mergeCell ref="G49:M49"/>
    <x:mergeCell ref="B46:O46"/>
    <x:mergeCell ref="G35:M35"/>
    <x:mergeCell ref="G39:M39"/>
    <x:mergeCell ref="G40:M40"/>
    <x:mergeCell ref="G41:M41"/>
    <x:mergeCell ref="G64:M64"/>
    <x:mergeCell ref="G27:M27"/>
    <x:mergeCell ref="G31:M31"/>
    <x:mergeCell ref="G32:M32"/>
    <x:mergeCell ref="G33:M33"/>
    <x:mergeCell ref="G34:M34"/>
    <x:mergeCell ref="G17:M17"/>
    <x:mergeCell ref="B70:O70"/>
    <x:mergeCell ref="B78:O78"/>
    <x:mergeCell ref="G50:M50"/>
    <x:mergeCell ref="G51:M51"/>
    <x:mergeCell ref="G55:M55"/>
    <x:mergeCell ref="B54:O54"/>
    <x:mergeCell ref="B62:O62"/>
    <x:mergeCell ref="G56:M56"/>
    <x:mergeCell ref="G57:M57"/>
    <x:mergeCell ref="G18:M18"/>
    <x:mergeCell ref="G19:M19"/>
    <x:mergeCell ref="G23:M23"/>
    <x:mergeCell ref="G24:M24"/>
    <x:mergeCell ref="G25:M25"/>
    <x:mergeCell ref="G26:M26"/>
    <x:mergeCell ref="B2:F2"/>
    <x:mergeCell ref="I2:O2"/>
    <x:mergeCell ref="B4:P4"/>
    <x:mergeCell ref="B6:O6"/>
    <x:mergeCell ref="B38:O38"/>
    <x:mergeCell ref="G7:M7"/>
    <x:mergeCell ref="G8:M8"/>
    <x:mergeCell ref="G9:M9"/>
    <x:mergeCell ref="G10:M10"/>
    <x:mergeCell ref="G11:M11"/>
    <x:mergeCell ref="B14:O14"/>
    <x:mergeCell ref="B30:O30"/>
    <x:mergeCell ref="G21:N21"/>
    <x:mergeCell ref="B22:O22"/>
    <x:mergeCell ref="G15:M15"/>
    <x:mergeCell ref="G16:M16"/>
  </x:mergeCells>
  <x:conditionalFormatting sqref="P28:P29 P1:P4 P36:P37 P44:P45 P52:P53 P60:P61 P68:P69 P76:P77 P84:P968 P6:P22">
    <x:cfRule type="cellIs" dxfId="107" priority="25" operator="equal">
      <x:formula>"미완료"</x:formula>
    </x:cfRule>
  </x:conditionalFormatting>
  <x:conditionalFormatting sqref="P30:P30">
    <x:cfRule type="cellIs" dxfId="106" priority="23" operator="equal">
      <x:formula>"미완료"</x:formula>
    </x:cfRule>
  </x:conditionalFormatting>
  <x:conditionalFormatting sqref="P38:P38">
    <x:cfRule type="cellIs" dxfId="105" priority="21" operator="equal">
      <x:formula>"미완료"</x:formula>
    </x:cfRule>
  </x:conditionalFormatting>
  <x:conditionalFormatting sqref="P46:P46">
    <x:cfRule type="cellIs" dxfId="104" priority="19" operator="equal">
      <x:formula>"미완료"</x:formula>
    </x:cfRule>
  </x:conditionalFormatting>
  <x:conditionalFormatting sqref="P54:P54">
    <x:cfRule type="cellIs" dxfId="103" priority="17" operator="equal">
      <x:formula>"미완료"</x:formula>
    </x:cfRule>
  </x:conditionalFormatting>
  <x:conditionalFormatting sqref="P62:P62">
    <x:cfRule type="cellIs" dxfId="102" priority="15" operator="equal">
      <x:formula>"미완료"</x:formula>
    </x:cfRule>
  </x:conditionalFormatting>
  <x:conditionalFormatting sqref="P70:P70">
    <x:cfRule type="cellIs" dxfId="101" priority="13" operator="equal">
      <x:formula>"미완료"</x:formula>
    </x:cfRule>
  </x:conditionalFormatting>
  <x:conditionalFormatting sqref="P78:P78">
    <x:cfRule type="cellIs" dxfId="100" priority="11" operator="equal">
      <x:formula>"미완료"</x:formula>
    </x:cfRule>
  </x:conditionalFormatting>
  <x:conditionalFormatting sqref="P79:P83">
    <x:cfRule type="cellIs" dxfId="99" priority="9" operator="equal">
      <x:formula>"미완료"</x:formula>
    </x:cfRule>
  </x:conditionalFormatting>
  <x:conditionalFormatting sqref="P71:P75">
    <x:cfRule type="cellIs" dxfId="98" priority="8" operator="equal">
      <x:formula>"미완료"</x:formula>
    </x:cfRule>
  </x:conditionalFormatting>
  <x:conditionalFormatting sqref="P63:P67">
    <x:cfRule type="cellIs" dxfId="97" priority="7" operator="equal">
      <x:formula>"미완료"</x:formula>
    </x:cfRule>
  </x:conditionalFormatting>
  <x:conditionalFormatting sqref="P55:P59">
    <x:cfRule type="cellIs" dxfId="96" priority="6" operator="equal">
      <x:formula>"미완료"</x:formula>
    </x:cfRule>
  </x:conditionalFormatting>
  <x:conditionalFormatting sqref="P47:P51">
    <x:cfRule type="cellIs" dxfId="95" priority="5" operator="equal">
      <x:formula>"미완료"</x:formula>
    </x:cfRule>
  </x:conditionalFormatting>
  <x:conditionalFormatting sqref="P39:P43">
    <x:cfRule type="cellIs" dxfId="94" priority="4" operator="equal">
      <x:formula>"미완료"</x:formula>
    </x:cfRule>
  </x:conditionalFormatting>
  <x:conditionalFormatting sqref="P31:P35">
    <x:cfRule type="cellIs" dxfId="93" priority="3" operator="equal">
      <x:formula>"미완료"</x:formula>
    </x:cfRule>
  </x:conditionalFormatting>
  <x:conditionalFormatting sqref="P23:P27">
    <x:cfRule type="cellIs" dxfId="92" priority="2" operator="equal">
      <x:formula>"미완료"</x:formula>
    </x:cfRule>
  </x:conditionalFormatting>
  <x:conditionalFormatting sqref="P5:P5">
    <x:cfRule type="cellIs" dxfId="91" priority="1" operator="equal">
      <x:formula>"미완료"</x:formula>
    </x:cfRule>
  </x:conditionalFormatting>
  <x:dataValidations count="4">
    <x:dataValidation type="list" allowBlank="1" sqref="B7 B15 B31 B39 B47 B55 B63 B71 B79 B23">
      <x:formula1>$R$3:$R$11</x:formula1>
    </x:dataValidation>
    <x:dataValidation type="list" allowBlank="1" sqref="B8:B12 B32:B35 B16:B21 B40:B43 B48:B51 B56:B59 B64:B67 B72:B75 B80:B83 B24:B27">
      <x:formula1>$R$3:$R$9</x:formula1>
    </x:dataValidation>
    <x:dataValidation type="list" allowBlank="1" showErrorMessage="1" sqref="P7:P9 P15:P21 P31:P35 P39:P43 P47:P51 P55:P59 P63:P67 P71:P75 P79:P83 P23:P27">
      <x:formula1>$R$13:$R$14</x:formula1>
    </x:dataValidation>
    <x:dataValidation type="list" allowBlank="1" sqref="C7:C12 C31:C35 C15:C21 C39:C43 C47:C51 C55:C59 C63:C67 C71:C75 C79:C83 C23:C27">
      <x:formula1>$T$3:$T$6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00000"/>
  </x:sheetPr>
  <x:sheetViews>
    <x:sheetView showGridLines="0" workbookViewId="0"/>
  </x:sheetViews>
  <x:sheetFormatPr defaultColWidth="14.42578125" defaultRowHeight="15"/>
  <x:cols>
    <x:col min="1" max="1" width="4.85546875" style="36" customWidth="1"/>
    <x:col min="2" max="2" width="17.28515625" customWidth="1"/>
    <x:col min="3" max="6" width="15.140625" customWidth="1"/>
    <x:col min="7" max="14" width="19.140625" customWidth="1"/>
    <x:col min="15" max="15" width="30.7109375" customWidth="1"/>
    <x:col min="16" max="16" width="10.42578125" customWidth="1"/>
    <x:col min="17" max="17" width="3.28515625" customWidth="1"/>
    <x:col min="18" max="18" width="17.140625" customWidth="1"/>
    <x:col min="19" max="19" width="3.28515625" customWidth="1"/>
    <x:col min="20" max="20" width="17.140625" customWidth="1"/>
    <x:col min="21" max="21" width="3.28515625" customWidth="1"/>
  </x:cols>
  <x:sheetData>
    <x:row r="1" ht="21" customHeight="1">
      <x:c r="A1" s="101"/>
      <x:c r="B1" s="1"/>
      <x:c r="C1" s="2"/>
      <x:c r="D1" s="3"/>
      <x:c r="E1" s="3"/>
      <x:c r="F1" s="4"/>
      <x:c r="G1" s="2"/>
      <x:c r="H1" s="2"/>
      <x:c r="I1" s="5"/>
      <x:c r="J1" s="6"/>
      <x:c r="K1" s="7"/>
      <x:c r="L1" s="6"/>
      <x:c r="M1" s="6"/>
      <x:c r="N1" s="6"/>
      <x:c r="O1" s="5"/>
      <x:c r="P1" s="9"/>
      <x:c r="Q1" s="8"/>
      <x:c r="R1" s="8"/>
      <x:c r="S1" s="8"/>
      <x:c r="T1" s="8"/>
      <x:c r="U1" s="8"/>
    </x:row>
    <x:row r="2" ht="24.75" customHeight="1">
      <x:c r="A2" s="101"/>
      <x:c r="B2" s="214" t="s">
        <x:v>0</x:v>
      </x:c>
      <x:c r="C2" s="215"/>
      <x:c r="D2" s="215"/>
      <x:c r="E2" s="215"/>
      <x:c r="F2" s="216"/>
      <x:c r="G2" s="10"/>
      <x:c r="H2" s="11" t="s">
        <x:v>1</x:v>
      </x:c>
      <x:c r="I2" s="217" t="s">
        <x:v>2</x:v>
      </x:c>
      <x:c r="J2" s="215"/>
      <x:c r="K2" s="215"/>
      <x:c r="L2" s="215"/>
      <x:c r="M2" s="215"/>
      <x:c r="N2" s="215"/>
      <x:c r="O2" s="216"/>
      <x:c r="Q2" s="12"/>
      <x:c r="R2" s="13" t="s">
        <x:v>3</x:v>
      </x:c>
      <x:c r="S2" s="13"/>
      <x:c r="T2" s="13" t="s">
        <x:v>4</x:v>
      </x:c>
      <x:c r="U2" s="12"/>
    </x:row>
    <x:row r="3" ht="21" customHeight="1">
      <x:c r="A3" s="101"/>
      <x:c r="B3" s="14"/>
      <x:c r="C3" s="14"/>
      <x:c r="D3" s="15"/>
      <x:c r="E3" s="15"/>
      <x:c r="F3" s="16"/>
      <x:c r="G3" s="17"/>
      <x:c r="H3" s="18"/>
      <x:c r="I3" s="19"/>
      <x:c r="J3" s="19"/>
      <x:c r="K3" s="19"/>
      <x:c r="L3" s="20"/>
      <x:c r="M3" s="20"/>
      <x:c r="N3" s="20"/>
      <x:c r="O3" s="39"/>
      <x:c r="P3" s="20"/>
      <x:c r="Q3" s="21"/>
      <x:c r="R3" s="22" t="s">
        <x:v>5</x:v>
      </x:c>
      <x:c r="S3" s="23"/>
      <x:c r="T3" s="22" t="s">
        <x:v>6</x:v>
      </x:c>
      <x:c r="U3" s="21"/>
    </x:row>
    <x:row r="4" ht="21" customHeight="1">
      <x:c r="A4" s="101"/>
      <x:c r="B4" s="218" t="s">
        <x:v>7</x:v>
      </x:c>
      <x:c r="C4" s="219"/>
      <x:c r="D4" s="219"/>
      <x:c r="E4" s="219"/>
      <x:c r="F4" s="219"/>
      <x:c r="G4" s="219"/>
      <x:c r="H4" s="219"/>
      <x:c r="I4" s="219"/>
      <x:c r="J4" s="219"/>
      <x:c r="K4" s="219"/>
      <x:c r="L4" s="219"/>
      <x:c r="M4" s="219"/>
      <x:c r="N4" s="219"/>
      <x:c r="O4" s="219"/>
      <x:c r="P4" s="220"/>
      <x:c r="Q4" s="21"/>
      <x:c r="R4" s="22" t="s">
        <x:v>8</x:v>
      </x:c>
      <x:c r="S4" s="23"/>
      <x:c r="T4" s="22" t="s">
        <x:v>9</x:v>
      </x:c>
      <x:c r="U4" s="21"/>
    </x:row>
    <x:row r="5" ht="21" customHeight="1">
      <x:c r="A5" s="101"/>
      <x:c r="B5" s="40" t="s">
        <x:v>10</x:v>
      </x:c>
      <x:c r="C5" s="41" t="s">
        <x:v>11</x:v>
      </x:c>
      <x:c r="D5" s="41" t="s">
        <x:v>12</x:v>
      </x:c>
      <x:c r="E5" s="40" t="s">
        <x:v>13</x:v>
      </x:c>
      <x:c r="F5" s="40" t="s">
        <x:v>14</x:v>
      </x:c>
      <x:c r="G5" s="223" t="s">
        <x:v>15</x:v>
      </x:c>
      <x:c r="H5" s="223"/>
      <x:c r="I5" s="223"/>
      <x:c r="J5" s="223"/>
      <x:c r="K5" s="223"/>
      <x:c r="L5" s="223"/>
      <x:c r="M5" s="223"/>
      <x:c r="N5" s="114" t="s">
        <x:v>16</x:v>
      </x:c>
      <x:c r="O5" s="41" t="s">
        <x:v>17</x:v>
      </x:c>
      <x:c r="P5" s="40" t="s">
        <x:v>18</x:v>
      </x:c>
      <x:c r="Q5" s="21"/>
      <x:c r="R5" s="22" t="s">
        <x:v>19</x:v>
      </x:c>
      <x:c r="S5" s="23"/>
      <x:c r="T5" s="22" t="s">
        <x:v>20</x:v>
      </x:c>
      <x:c r="U5" s="21"/>
    </x:row>
    <x:row r="6" ht="30" customHeight="1">
      <x:c r="A6" s="104">
        <x:v>21</x:v>
      </x:c>
      <x:c r="B6" s="221" t="s">
        <x:v>48</x:v>
      </x:c>
      <x:c r="C6" s="222"/>
      <x:c r="D6" s="222"/>
      <x:c r="E6" s="222"/>
      <x:c r="F6" s="222"/>
      <x:c r="G6" s="222"/>
      <x:c r="H6" s="222"/>
      <x:c r="I6" s="222"/>
      <x:c r="J6" s="222"/>
      <x:c r="K6" s="222"/>
      <x:c r="L6" s="222"/>
      <x:c r="M6" s="222"/>
      <x:c r="N6" s="222"/>
      <x:c r="O6" s="222"/>
      <x:c r="P6" s="81"/>
      <x:c r="Q6" s="21"/>
      <x:c r="R6" s="25" t="s">
        <x:v>22</x:v>
      </x:c>
      <x:c r="S6" s="23"/>
      <x:c r="T6" s="22"/>
      <x:c r="U6" s="21"/>
    </x:row>
    <x:row r="7" ht="15.949999809265137" customHeight="1">
      <x:c r="A7" s="42"/>
      <x:c r="B7" s="26" t="s">
        <x:v>23</x:v>
      </x:c>
      <x:c r="C7" s="26" t="s">
        <x:v>20</x:v>
      </x:c>
      <x:c r="D7" s="28">
        <x:v>46140</x:v>
      </x:c>
      <x:c r="E7" s="28">
        <x:v>46141</x:v>
      </x:c>
      <x:c r="F7" s="84" t="n">
        <x:f>DAYS360(D7,E7)</x:f>
        <x:v>1</x:v>
      </x:c>
      <x:c r="G7" s="224"/>
      <x:c r="H7" s="225"/>
      <x:c r="I7" s="225"/>
      <x:c r="J7" s="225"/>
      <x:c r="K7" s="225"/>
      <x:c r="L7" s="225"/>
      <x:c r="M7" s="225"/>
      <x:c r="N7" s="117"/>
      <x:c r="O7" s="85"/>
      <x:c r="P7" s="85"/>
      <x:c r="Q7" s="27"/>
      <x:c r="R7" s="25" t="s">
        <x:v>24</x:v>
      </x:c>
      <x:c r="S7" s="27"/>
      <x:c r="T7" s="27"/>
      <x:c r="U7" s="27"/>
    </x:row>
    <x:row r="8" ht="15.949999809265137" customHeight="1">
      <x:c r="A8" s="102"/>
      <x:c r="B8" s="82"/>
      <x:c r="C8" s="82"/>
      <x:c r="D8" s="83"/>
      <x:c r="E8" s="83"/>
      <x:c r="F8" s="84" t="e">
        <x:f t="shared" ref="F8:F11" si="0">DAYS360(D8,E8)</x:f>
      </x:c>
      <x:c r="G8" s="224"/>
      <x:c r="H8" s="225"/>
      <x:c r="I8" s="225"/>
      <x:c r="J8" s="225"/>
      <x:c r="K8" s="225"/>
      <x:c r="L8" s="225"/>
      <x:c r="M8" s="225"/>
      <x:c r="N8" s="117"/>
      <x:c r="O8" s="85"/>
      <x:c r="P8" s="85"/>
      <x:c r="Q8" s="30"/>
      <x:c r="R8" s="25"/>
      <x:c r="S8" s="30"/>
      <x:c r="T8" s="30"/>
      <x:c r="U8" s="30"/>
    </x:row>
    <x:row r="9" ht="15.949999809265137" customHeight="1">
      <x:c r="A9" s="102"/>
      <x:c r="B9" s="82"/>
      <x:c r="C9" s="82"/>
      <x:c r="D9" s="83"/>
      <x:c r="E9" s="83"/>
      <x:c r="F9" s="84">
        <x:f t="shared" si="0"/>
        <x:v>0</x:v>
      </x:c>
      <x:c r="G9" s="224"/>
      <x:c r="H9" s="225"/>
      <x:c r="I9" s="225"/>
      <x:c r="J9" s="225"/>
      <x:c r="K9" s="225"/>
      <x:c r="L9" s="225"/>
      <x:c r="M9" s="225"/>
      <x:c r="N9" s="117"/>
      <x:c r="O9" s="85"/>
      <x:c r="P9" s="85"/>
      <x:c r="Q9" s="30"/>
      <x:c r="R9" s="25"/>
      <x:c r="S9" s="30"/>
      <x:c r="T9" s="30"/>
      <x:c r="U9" s="30"/>
    </x:row>
    <x:row r="10" ht="15.949999809265137" customHeight="1">
      <x:c r="A10" s="103"/>
      <x:c r="B10" s="82"/>
      <x:c r="C10" s="82"/>
      <x:c r="D10" s="83"/>
      <x:c r="E10" s="93"/>
      <x:c r="F10" s="84">
        <x:f t="shared" si="0"/>
        <x:v>0</x:v>
      </x:c>
      <x:c r="G10" s="224"/>
      <x:c r="H10" s="225"/>
      <x:c r="I10" s="225"/>
      <x:c r="J10" s="225"/>
      <x:c r="K10" s="225"/>
      <x:c r="L10" s="225"/>
      <x:c r="M10" s="225"/>
      <x:c r="N10" s="117"/>
      <x:c r="O10" s="85"/>
      <x:c r="P10" s="85"/>
      <x:c r="Q10" s="30"/>
      <x:c r="R10" s="30"/>
      <x:c r="S10" s="30"/>
      <x:c r="T10" s="30"/>
      <x:c r="U10" s="30"/>
    </x:row>
    <x:row r="11" ht="15.949999809265137" customHeight="1">
      <x:c r="A11" s="103"/>
      <x:c r="B11" s="82"/>
      <x:c r="C11" s="82"/>
      <x:c r="D11" s="83"/>
      <x:c r="E11" s="93"/>
      <x:c r="F11" s="84">
        <x:f t="shared" si="0"/>
        <x:v>0</x:v>
      </x:c>
      <x:c r="G11" s="224"/>
      <x:c r="H11" s="225"/>
      <x:c r="I11" s="225"/>
      <x:c r="J11" s="225"/>
      <x:c r="K11" s="225"/>
      <x:c r="L11" s="225"/>
      <x:c r="M11" s="225"/>
      <x:c r="N11" s="117"/>
      <x:c r="O11" s="85"/>
      <x:c r="P11" s="85"/>
      <x:c r="Q11" s="30"/>
      <x:c r="R11" s="13" t="s">
        <x:v>25</x:v>
      </x:c>
      <x:c r="S11" s="30"/>
      <x:c r="T11" s="30"/>
      <x:c r="U11" s="30"/>
    </x:row>
    <x:row r="12" ht="21" customHeight="1">
      <x:c r="A12" s="103"/>
      <x:c r="B12" s="107"/>
      <x:c r="C12" s="107"/>
      <x:c r="D12" s="108"/>
      <x:c r="E12" s="108"/>
      <x:c r="F12" s="109"/>
      <x:c r="G12" s="107"/>
      <x:c r="H12" s="110"/>
      <x:c r="I12" s="110"/>
      <x:c r="J12" s="110"/>
      <x:c r="K12" s="110"/>
      <x:c r="L12" s="110"/>
      <x:c r="M12" s="110"/>
      <x:c r="N12" s="131" t="n">
        <x:f>SUM(N7:N11)</x:f>
        <x:v>0</x:v>
      </x:c>
      <x:c r="O12" s="107"/>
      <x:c r="P12" s="111"/>
      <x:c r="Q12" s="112"/>
      <x:c r="R12" s="113"/>
      <x:c r="S12" s="112"/>
      <x:c r="T12" s="112"/>
      <x:c r="U12" s="112"/>
    </x:row>
    <x:row r="13" ht="21" customHeight="1">
      <x:c r="A13" s="75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49"/>
      <x:c r="Q13" s="30"/>
      <x:c r="R13" s="25" t="s">
        <x:v>26</x:v>
      </x:c>
      <x:c r="S13" s="30"/>
      <x:c r="T13" s="30"/>
      <x:c r="U13" s="30"/>
    </x:row>
    <x:row r="14" ht="26.25">
      <x:c r="A14" s="104">
        <x:v>22</x:v>
      </x:c>
      <x:c r="B14" s="221" t="s">
        <x:v>49</x:v>
      </x:c>
      <x:c r="C14" s="222"/>
      <x:c r="D14" s="222"/>
      <x:c r="E14" s="222"/>
      <x:c r="F14" s="222"/>
      <x:c r="G14" s="222"/>
      <x:c r="H14" s="222"/>
      <x:c r="I14" s="222"/>
      <x:c r="J14" s="222"/>
      <x:c r="K14" s="222"/>
      <x:c r="L14" s="222"/>
      <x:c r="M14" s="222"/>
      <x:c r="N14" s="222"/>
      <x:c r="O14" s="222"/>
      <x:c r="P14" s="92"/>
      <x:c r="Q14" s="30"/>
      <x:c r="R14" s="25" t="s">
        <x:v>28</x:v>
      </x:c>
      <x:c r="S14" s="30"/>
      <x:c r="T14" s="30"/>
      <x:c r="U14" s="30"/>
    </x:row>
    <x:row r="15" ht="15.949999809265137" customHeight="1">
      <x:c r="A15" s="75"/>
      <x:c r="B15" s="26" t="s">
        <x:v>23</x:v>
      </x:c>
      <x:c r="C15" s="26" t="s">
        <x:v>20</x:v>
      </x:c>
      <x:c r="D15" s="28">
        <x:v>46140</x:v>
      </x:c>
      <x:c r="E15" s="28">
        <x:v>46141</x:v>
      </x:c>
      <x:c r="F15" s="84" t="n">
        <x:f>DAYS360(D15,E15)</x:f>
        <x:v>1</x:v>
      </x:c>
      <x:c r="G15" s="224"/>
      <x:c r="H15" s="225"/>
      <x:c r="I15" s="225"/>
      <x:c r="J15" s="225"/>
      <x:c r="K15" s="225"/>
      <x:c r="L15" s="225"/>
      <x:c r="M15" s="225"/>
      <x:c r="N15" s="117"/>
      <x:c r="O15" s="85"/>
      <x:c r="P15" s="85"/>
      <x:c r="Q15" s="37"/>
      <x:c r="R15" s="25"/>
      <x:c r="S15" s="37"/>
      <x:c r="T15" s="37"/>
      <x:c r="U15" s="37"/>
    </x:row>
    <x:row r="16" ht="15.949999809265137" customHeight="1">
      <x:c r="A16" s="75"/>
      <x:c r="B16" s="82"/>
      <x:c r="C16" s="82"/>
      <x:c r="D16" s="83"/>
      <x:c r="E16" s="83"/>
      <x:c r="F16" s="84" t="e">
        <x:f t="shared" ref="F16:F19" si="1">DAYS360(D16,E16)</x:f>
      </x:c>
      <x:c r="G16" s="224"/>
      <x:c r="H16" s="225"/>
      <x:c r="I16" s="225"/>
      <x:c r="J16" s="225"/>
      <x:c r="K16" s="225"/>
      <x:c r="L16" s="225"/>
      <x:c r="M16" s="225"/>
      <x:c r="N16" s="117"/>
      <x:c r="O16" s="85"/>
      <x:c r="P16" s="85"/>
      <x:c r="Q16" s="38"/>
      <x:c r="R16" s="38"/>
      <x:c r="S16" s="38"/>
      <x:c r="T16" s="38"/>
      <x:c r="U16" s="38"/>
    </x:row>
    <x:row r="17" ht="15.949999809265137" customHeight="1">
      <x:c r="A17" s="75"/>
      <x:c r="B17" s="82"/>
      <x:c r="C17" s="82"/>
      <x:c r="D17" s="83"/>
      <x:c r="E17" s="93"/>
      <x:c r="F17" s="84">
        <x:f t="shared" si="1"/>
        <x:v>0</x:v>
      </x:c>
      <x:c r="G17" s="224"/>
      <x:c r="H17" s="225"/>
      <x:c r="I17" s="225"/>
      <x:c r="J17" s="225"/>
      <x:c r="K17" s="225"/>
      <x:c r="L17" s="225"/>
      <x:c r="M17" s="225"/>
      <x:c r="N17" s="117"/>
      <x:c r="O17" s="85"/>
      <x:c r="P17" s="85"/>
      <x:c r="Q17" s="38"/>
      <x:c r="R17" s="38"/>
      <x:c r="S17" s="38"/>
      <x:c r="T17" s="38"/>
      <x:c r="U17" s="38"/>
    </x:row>
    <x:row r="18" ht="15.949999809265137" customHeight="1">
      <x:c r="A18" s="75"/>
      <x:c r="B18" s="82"/>
      <x:c r="C18" s="82"/>
      <x:c r="D18" s="83"/>
      <x:c r="E18" s="93"/>
      <x:c r="F18" s="84">
        <x:f t="shared" si="1"/>
        <x:v>0</x:v>
      </x:c>
      <x:c r="G18" s="224"/>
      <x:c r="H18" s="225"/>
      <x:c r="I18" s="225"/>
      <x:c r="J18" s="225"/>
      <x:c r="K18" s="225"/>
      <x:c r="L18" s="225"/>
      <x:c r="M18" s="225"/>
      <x:c r="N18" s="117"/>
      <x:c r="O18" s="85"/>
      <x:c r="P18" s="85"/>
      <x:c r="Q18" s="38"/>
      <x:c r="R18" s="38"/>
      <x:c r="S18" s="38"/>
      <x:c r="T18" s="38"/>
      <x:c r="U18" s="38"/>
    </x:row>
    <x:row r="19" ht="15.949999809265137" customHeight="1">
      <x:c r="A19" s="75"/>
      <x:c r="B19" s="82"/>
      <x:c r="C19" s="82"/>
      <x:c r="D19" s="83"/>
      <x:c r="E19" s="83"/>
      <x:c r="F19" s="84">
        <x:f t="shared" si="1"/>
        <x:v>0</x:v>
      </x:c>
      <x:c r="G19" s="224"/>
      <x:c r="H19" s="225"/>
      <x:c r="I19" s="225"/>
      <x:c r="J19" s="225"/>
      <x:c r="K19" s="225"/>
      <x:c r="L19" s="225"/>
      <x:c r="M19" s="225"/>
      <x:c r="N19" s="117"/>
      <x:c r="O19" s="85"/>
      <x:c r="P19" s="85"/>
      <x:c r="Q19" s="38"/>
      <x:c r="R19" s="38"/>
      <x:c r="S19" s="38"/>
      <x:c r="T19" s="38"/>
      <x:c r="U19" s="38"/>
    </x:row>
    <x:row r="20" ht="21" customHeight="1">
      <x:c r="A20" s="75"/>
      <x:c r="B20" s="43"/>
      <x:c r="C20" s="43"/>
      <x:c r="D20" s="44"/>
      <x:c r="E20" s="44"/>
      <x:c r="F20" s="36"/>
      <x:c r="G20" s="129"/>
      <x:c r="H20" s="119"/>
      <x:c r="I20" s="119"/>
      <x:c r="J20" s="119"/>
      <x:c r="K20" s="119"/>
      <x:c r="L20" s="119"/>
      <x:c r="M20" s="119"/>
      <x:c r="N20" s="131" t="n">
        <x:f>SUM(N15:N19)</x:f>
        <x:v>0</x:v>
      </x:c>
      <x:c r="O20" s="47"/>
      <x:c r="P20" s="47"/>
      <x:c r="Q20" s="38"/>
      <x:c r="R20" s="38"/>
      <x:c r="S20" s="38"/>
      <x:c r="T20" s="38"/>
      <x:c r="U20" s="38"/>
    </x:row>
    <x:row r="21" ht="21" customHeight="1">
      <x:c r="A21" s="75"/>
      <x:c r="B21" s="32"/>
      <x:c r="C21" s="32"/>
      <x:c r="D21" s="33"/>
      <x:c r="E21" s="33"/>
      <x:c r="F21" s="34"/>
      <x:c r="G21" s="226"/>
      <x:c r="H21" s="227"/>
      <x:c r="I21" s="227"/>
      <x:c r="J21" s="227"/>
      <x:c r="K21" s="227"/>
      <x:c r="L21" s="227"/>
      <x:c r="M21" s="227"/>
      <x:c r="N21" s="227"/>
      <x:c r="O21" s="32"/>
      <x:c r="P21" s="47"/>
      <x:c r="Q21" s="38"/>
      <x:c r="R21" s="38"/>
      <x:c r="S21" s="38"/>
      <x:c r="T21" s="38"/>
      <x:c r="U21" s="38"/>
    </x:row>
    <x:row r="22" ht="26.25">
      <x:c r="A22" s="105">
        <x:v>23</x:v>
      </x:c>
      <x:c r="B22" s="221" t="s">
        <x:v>50</x:v>
      </x:c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49"/>
      <x:c r="Q22" s="38"/>
      <x:c r="R22" s="38"/>
      <x:c r="S22" s="38"/>
      <x:c r="T22" s="38"/>
      <x:c r="U22" s="38"/>
    </x:row>
    <x:row r="23" ht="15.949999809265137" customHeight="1">
      <x:c r="A23" s="75"/>
      <x:c r="B23" s="26" t="s">
        <x:v>22</x:v>
      </x:c>
      <x:c r="C23" s="26" t="s">
        <x:v>6</x:v>
      </x:c>
      <x:c r="D23" s="28">
        <x:v>46157</x:v>
      </x:c>
      <x:c r="E23" s="28"/>
      <x:c r="F23" s="84" t="e">
        <x:f>DAYS360(D23,E23)</x:f>
      </x:c>
      <x:c r="G23" s="224" t="s">
        <x:v>51</x:v>
      </x:c>
      <x:c r="H23" s="225"/>
      <x:c r="I23" s="225"/>
      <x:c r="J23" s="225"/>
      <x:c r="K23" s="225"/>
      <x:c r="L23" s="225"/>
      <x:c r="M23" s="225"/>
      <x:c r="N23" s="117">
        <x:v>660000</x:v>
      </x:c>
      <x:c r="O23" s="85" t="s">
        <x:v>52</x:v>
      </x:c>
      <x:c r="P23" s="85" t="s">
        <x:v>28</x:v>
      </x:c>
      <x:c r="Q23" s="38"/>
      <x:c r="R23" s="38"/>
      <x:c r="S23" s="38"/>
      <x:c r="T23" s="38"/>
      <x:c r="U23" s="38"/>
    </x:row>
    <x:row r="24" ht="15.949999809265137" customHeight="1">
      <x:c r="A24" s="75"/>
      <x:c r="B24" s="82"/>
      <x:c r="C24" s="82"/>
      <x:c r="D24" s="83"/>
      <x:c r="E24" s="83"/>
      <x:c r="F24" s="84" t="e">
        <x:f t="shared" ref="F24:F27" si="2">DAYS360(D24,E24)</x:f>
      </x:c>
      <x:c r="G24" s="224"/>
      <x:c r="H24" s="225"/>
      <x:c r="I24" s="225"/>
      <x:c r="J24" s="225"/>
      <x:c r="K24" s="225"/>
      <x:c r="L24" s="225"/>
      <x:c r="M24" s="225"/>
      <x:c r="N24" s="117"/>
      <x:c r="O24" s="85"/>
      <x:c r="P24" s="85"/>
      <x:c r="Q24" s="38"/>
      <x:c r="R24" s="38"/>
      <x:c r="S24" s="38"/>
      <x:c r="T24" s="38"/>
      <x:c r="U24" s="38"/>
    </x:row>
    <x:row r="25" ht="15.949999809265137" customHeight="1">
      <x:c r="A25" s="75"/>
      <x:c r="B25" s="82"/>
      <x:c r="C25" s="82"/>
      <x:c r="D25" s="83"/>
      <x:c r="E25" s="93"/>
      <x:c r="F25" s="84">
        <x:f t="shared" si="2"/>
        <x:v>0</x:v>
      </x:c>
      <x:c r="G25" s="224"/>
      <x:c r="H25" s="225"/>
      <x:c r="I25" s="225"/>
      <x:c r="J25" s="225"/>
      <x:c r="K25" s="225"/>
      <x:c r="L25" s="225"/>
      <x:c r="M25" s="225"/>
      <x:c r="N25" s="117"/>
      <x:c r="O25" s="85"/>
      <x:c r="P25" s="85"/>
      <x:c r="Q25" s="106"/>
      <x:c r="R25" s="106"/>
      <x:c r="S25" s="106"/>
      <x:c r="T25" s="106"/>
      <x:c r="U25" s="106"/>
    </x:row>
    <x:row r="26" ht="15.949999809265137" customHeight="1">
      <x:c r="A26" s="75"/>
      <x:c r="B26" s="82"/>
      <x:c r="C26" s="82"/>
      <x:c r="D26" s="83"/>
      <x:c r="E26" s="93"/>
      <x:c r="F26" s="84">
        <x:f t="shared" si="2"/>
        <x:v>0</x:v>
      </x:c>
      <x:c r="G26" s="224"/>
      <x:c r="H26" s="225"/>
      <x:c r="I26" s="225"/>
      <x:c r="J26" s="225"/>
      <x:c r="K26" s="225"/>
      <x:c r="L26" s="225"/>
      <x:c r="M26" s="225"/>
      <x:c r="N26" s="117"/>
      <x:c r="O26" s="85"/>
      <x:c r="P26" s="85"/>
      <x:c r="Q26" s="38"/>
      <x:c r="R26" s="38"/>
      <x:c r="S26" s="38"/>
      <x:c r="T26" s="38"/>
      <x:c r="U26" s="38"/>
    </x:row>
    <x:row r="27" ht="15.949999809265137" customHeight="1">
      <x:c r="A27" s="75"/>
      <x:c r="B27" s="82"/>
      <x:c r="C27" s="82"/>
      <x:c r="D27" s="83"/>
      <x:c r="E27" s="83"/>
      <x:c r="F27" s="84">
        <x:f t="shared" si="2"/>
        <x:v>0</x:v>
      </x:c>
      <x:c r="G27" s="224"/>
      <x:c r="H27" s="225"/>
      <x:c r="I27" s="225"/>
      <x:c r="J27" s="225"/>
      <x:c r="K27" s="225"/>
      <x:c r="L27" s="225"/>
      <x:c r="M27" s="225"/>
      <x:c r="N27" s="117"/>
      <x:c r="O27" s="85"/>
      <x:c r="P27" s="85"/>
      <x:c r="Q27" s="38"/>
      <x:c r="R27" s="38"/>
      <x:c r="S27" s="38"/>
      <x:c r="T27" s="38"/>
      <x:c r="U27" s="38"/>
    </x:row>
    <x:row r="28" ht="21" customHeight="1">
      <x:c r="N28" s="131" t="n">
        <x:f>SUM(N23:N27)</x:f>
        <x:v>660000</x:v>
      </x:c>
      <x:c r="O28" s="36"/>
    </x:row>
    <x:row r="29" ht="21" customHeight="1">
      <x:c r="O29" s="36"/>
    </x:row>
    <x:row r="30" ht="26.100000381469727" customHeight="1">
      <x:c r="A30" s="105">
        <x:v>24</x:v>
      </x:c>
      <x:c r="B30" s="221" t="s">
        <x:v>53</x:v>
      </x:c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49"/>
    </x:row>
    <x:row r="31" ht="15.75" customHeight="1">
      <x:c r="A31" s="75"/>
      <x:c r="B31" s="26" t="s">
        <x:v>23</x:v>
      </x:c>
      <x:c r="C31" s="26" t="s">
        <x:v>20</x:v>
      </x:c>
      <x:c r="D31" s="28">
        <x:v>46140</x:v>
      </x:c>
      <x:c r="E31" s="28">
        <x:v>46141</x:v>
      </x:c>
      <x:c r="F31" s="84" t="n">
        <x:f>DAYS360(D31,E31)</x:f>
        <x:v>1</x:v>
      </x:c>
      <x:c r="G31" s="224"/>
      <x:c r="H31" s="225"/>
      <x:c r="I31" s="225"/>
      <x:c r="J31" s="225"/>
      <x:c r="K31" s="225"/>
      <x:c r="L31" s="225"/>
      <x:c r="M31" s="225"/>
      <x:c r="N31" s="117"/>
      <x:c r="O31" s="85"/>
      <x:c r="P31" s="85"/>
    </x:row>
    <x:row r="32" ht="15.75" customHeight="1">
      <x:c r="A32" s="75"/>
      <x:c r="B32" s="82"/>
      <x:c r="C32" s="82"/>
      <x:c r="D32" s="83"/>
      <x:c r="E32" s="83"/>
      <x:c r="F32" s="84" t="e">
        <x:f t="shared" ref="F32:F35" si="3">DAYS360(D32,E32)</x:f>
      </x:c>
      <x:c r="G32" s="224"/>
      <x:c r="H32" s="225"/>
      <x:c r="I32" s="225"/>
      <x:c r="J32" s="225"/>
      <x:c r="K32" s="225"/>
      <x:c r="L32" s="225"/>
      <x:c r="M32" s="225"/>
      <x:c r="N32" s="117"/>
      <x:c r="O32" s="85"/>
      <x:c r="P32" s="85"/>
    </x:row>
    <x:row r="33" ht="15.75" customHeight="1">
      <x:c r="A33" s="75"/>
      <x:c r="B33" s="82"/>
      <x:c r="C33" s="82"/>
      <x:c r="D33" s="83"/>
      <x:c r="E33" s="93"/>
      <x:c r="F33" s="84">
        <x:f t="shared" si="3"/>
        <x:v>0</x:v>
      </x:c>
      <x:c r="G33" s="224"/>
      <x:c r="H33" s="225"/>
      <x:c r="I33" s="225"/>
      <x:c r="J33" s="225"/>
      <x:c r="K33" s="225"/>
      <x:c r="L33" s="225"/>
      <x:c r="M33" s="225"/>
      <x:c r="N33" s="117"/>
      <x:c r="O33" s="85"/>
      <x:c r="P33" s="85"/>
    </x:row>
    <x:row r="34" ht="15.75" customHeight="1">
      <x:c r="A34" s="75"/>
      <x:c r="B34" s="82"/>
      <x:c r="C34" s="82"/>
      <x:c r="D34" s="83"/>
      <x:c r="E34" s="93"/>
      <x:c r="F34" s="84">
        <x:f t="shared" si="3"/>
        <x:v>0</x:v>
      </x:c>
      <x:c r="G34" s="224"/>
      <x:c r="H34" s="225"/>
      <x:c r="I34" s="225"/>
      <x:c r="J34" s="225"/>
      <x:c r="K34" s="225"/>
      <x:c r="L34" s="225"/>
      <x:c r="M34" s="225"/>
      <x:c r="N34" s="117"/>
      <x:c r="O34" s="85"/>
      <x:c r="P34" s="85"/>
    </x:row>
    <x:row r="35" ht="15.75" customHeight="1">
      <x:c r="A35" s="75"/>
      <x:c r="B35" s="82"/>
      <x:c r="C35" s="82"/>
      <x:c r="D35" s="83"/>
      <x:c r="E35" s="83"/>
      <x:c r="F35" s="84">
        <x:f t="shared" si="3"/>
        <x:v>0</x:v>
      </x:c>
      <x:c r="G35" s="224"/>
      <x:c r="H35" s="225"/>
      <x:c r="I35" s="225"/>
      <x:c r="J35" s="225"/>
      <x:c r="K35" s="225"/>
      <x:c r="L35" s="225"/>
      <x:c r="M35" s="225"/>
      <x:c r="N35" s="117"/>
      <x:c r="O35" s="85"/>
      <x:c r="P35" s="85"/>
    </x:row>
    <x:row r="36" ht="15.75" customHeight="1">
      <x:c r="N36" s="131" t="n">
        <x:f>SUM(N31:N35)</x:f>
        <x:v>0</x:v>
      </x:c>
      <x:c r="O36" s="36"/>
    </x:row>
    <x:row r="37" ht="15.75" customHeight="1">
      <x:c r="O37" s="36"/>
    </x:row>
    <x:row r="38" ht="26.100000381469727" customHeight="1">
      <x:c r="A38" s="105">
        <x:v>25</x:v>
      </x:c>
      <x:c r="B38" s="221" t="s">
        <x:v>54</x:v>
      </x:c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49"/>
    </x:row>
    <x:row r="39" ht="15.75" customHeight="1">
      <x:c r="A39" s="75"/>
      <x:c r="B39" s="26" t="s">
        <x:v>23</x:v>
      </x:c>
      <x:c r="C39" s="26" t="s">
        <x:v>20</x:v>
      </x:c>
      <x:c r="D39" s="28">
        <x:v>46140</x:v>
      </x:c>
      <x:c r="E39" s="28">
        <x:v>46141</x:v>
      </x:c>
      <x:c r="F39" s="84" t="n">
        <x:f>DAYS360(D39,E39)</x:f>
        <x:v>1</x:v>
      </x:c>
      <x:c r="G39" s="224"/>
      <x:c r="H39" s="225"/>
      <x:c r="I39" s="225"/>
      <x:c r="J39" s="225"/>
      <x:c r="K39" s="225"/>
      <x:c r="L39" s="225"/>
      <x:c r="M39" s="225"/>
      <x:c r="N39" s="117"/>
      <x:c r="O39" s="85"/>
      <x:c r="P39" s="85"/>
    </x:row>
    <x:row r="40" ht="15.75" customHeight="1">
      <x:c r="A40" s="75"/>
      <x:c r="B40" s="82"/>
      <x:c r="C40" s="82"/>
      <x:c r="D40" s="83"/>
      <x:c r="E40" s="83"/>
      <x:c r="F40" s="84" t="e">
        <x:f t="shared" ref="F40:F43" si="4">DAYS360(D40,E40)</x:f>
      </x:c>
      <x:c r="G40" s="224"/>
      <x:c r="H40" s="225"/>
      <x:c r="I40" s="225"/>
      <x:c r="J40" s="225"/>
      <x:c r="K40" s="225"/>
      <x:c r="L40" s="225"/>
      <x:c r="M40" s="225"/>
      <x:c r="N40" s="117"/>
      <x:c r="O40" s="85"/>
      <x:c r="P40" s="85"/>
    </x:row>
    <x:row r="41" ht="15.75" customHeight="1">
      <x:c r="A41" s="75"/>
      <x:c r="B41" s="82"/>
      <x:c r="C41" s="82"/>
      <x:c r="D41" s="83"/>
      <x:c r="E41" s="93"/>
      <x:c r="F41" s="84">
        <x:f t="shared" si="4"/>
        <x:v>0</x:v>
      </x:c>
      <x:c r="G41" s="224"/>
      <x:c r="H41" s="225"/>
      <x:c r="I41" s="225"/>
      <x:c r="J41" s="225"/>
      <x:c r="K41" s="225"/>
      <x:c r="L41" s="225"/>
      <x:c r="M41" s="225"/>
      <x:c r="N41" s="117"/>
      <x:c r="O41" s="85"/>
      <x:c r="P41" s="85"/>
    </x:row>
    <x:row r="42" ht="15.75" customHeight="1">
      <x:c r="A42" s="75"/>
      <x:c r="B42" s="82"/>
      <x:c r="C42" s="82"/>
      <x:c r="D42" s="83"/>
      <x:c r="E42" s="93"/>
      <x:c r="F42" s="84">
        <x:f t="shared" si="4"/>
        <x:v>0</x:v>
      </x:c>
      <x:c r="G42" s="224"/>
      <x:c r="H42" s="225"/>
      <x:c r="I42" s="225"/>
      <x:c r="J42" s="225"/>
      <x:c r="K42" s="225"/>
      <x:c r="L42" s="225"/>
      <x:c r="M42" s="225"/>
      <x:c r="N42" s="117"/>
      <x:c r="O42" s="85"/>
      <x:c r="P42" s="85"/>
    </x:row>
    <x:row r="43" ht="15.75" customHeight="1">
      <x:c r="A43" s="75"/>
      <x:c r="B43" s="82"/>
      <x:c r="C43" s="82"/>
      <x:c r="D43" s="83"/>
      <x:c r="E43" s="83"/>
      <x:c r="F43" s="84">
        <x:f t="shared" si="4"/>
        <x:v>0</x:v>
      </x:c>
      <x:c r="G43" s="224"/>
      <x:c r="H43" s="225"/>
      <x:c r="I43" s="225"/>
      <x:c r="J43" s="225"/>
      <x:c r="K43" s="225"/>
      <x:c r="L43" s="225"/>
      <x:c r="M43" s="225"/>
      <x:c r="N43" s="117"/>
      <x:c r="O43" s="85"/>
      <x:c r="P43" s="85"/>
    </x:row>
    <x:row r="44" ht="15.75" customHeight="1">
      <x:c r="N44" s="131" t="n">
        <x:f>SUM(N39:N43)</x:f>
        <x:v>0</x:v>
      </x:c>
      <x:c r="O44" s="36"/>
    </x:row>
    <x:row r="45" ht="15.75" customHeight="1">
      <x:c r="O45" s="36"/>
    </x:row>
    <x:row r="46" ht="26.100000381469727" customHeight="1">
      <x:c r="A46" s="105">
        <x:v>26</x:v>
      </x:c>
      <x:c r="B46" s="221" t="s">
        <x:v>55</x:v>
      </x:c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49"/>
    </x:row>
    <x:row r="47" ht="15.75" customHeight="1">
      <x:c r="A47" s="75"/>
      <x:c r="B47" s="26" t="s">
        <x:v>23</x:v>
      </x:c>
      <x:c r="C47" s="26" t="s">
        <x:v>20</x:v>
      </x:c>
      <x:c r="D47" s="28">
        <x:v>46140</x:v>
      </x:c>
      <x:c r="E47" s="28">
        <x:v>46141</x:v>
      </x:c>
      <x:c r="F47" s="84" t="n">
        <x:f>DAYS360(D47,E47)</x:f>
        <x:v>1</x:v>
      </x:c>
      <x:c r="G47" s="224"/>
      <x:c r="H47" s="225"/>
      <x:c r="I47" s="225"/>
      <x:c r="J47" s="225"/>
      <x:c r="K47" s="225"/>
      <x:c r="L47" s="225"/>
      <x:c r="M47" s="225"/>
      <x:c r="N47" s="117"/>
      <x:c r="O47" s="85"/>
      <x:c r="P47" s="85"/>
    </x:row>
    <x:row r="48" ht="15.75" customHeight="1">
      <x:c r="A48" s="75"/>
      <x:c r="B48" s="82"/>
      <x:c r="C48" s="82"/>
      <x:c r="D48" s="83"/>
      <x:c r="E48" s="83"/>
      <x:c r="F48" s="84" t="e">
        <x:f t="shared" ref="F48:F51" si="5">DAYS360(D48,E48)</x:f>
      </x:c>
      <x:c r="G48" s="224"/>
      <x:c r="H48" s="225"/>
      <x:c r="I48" s="225"/>
      <x:c r="J48" s="225"/>
      <x:c r="K48" s="225"/>
      <x:c r="L48" s="225"/>
      <x:c r="M48" s="225"/>
      <x:c r="N48" s="117"/>
      <x:c r="O48" s="85"/>
      <x:c r="P48" s="85"/>
    </x:row>
    <x:row r="49" ht="15.75" customHeight="1">
      <x:c r="A49" s="75"/>
      <x:c r="B49" s="82"/>
      <x:c r="C49" s="82"/>
      <x:c r="D49" s="83"/>
      <x:c r="E49" s="93"/>
      <x:c r="F49" s="84">
        <x:f t="shared" si="5"/>
        <x:v>0</x:v>
      </x:c>
      <x:c r="G49" s="224"/>
      <x:c r="H49" s="225"/>
      <x:c r="I49" s="225"/>
      <x:c r="J49" s="225"/>
      <x:c r="K49" s="225"/>
      <x:c r="L49" s="225"/>
      <x:c r="M49" s="225"/>
      <x:c r="N49" s="117"/>
      <x:c r="O49" s="85"/>
      <x:c r="P49" s="85"/>
    </x:row>
    <x:row r="50" ht="15.75" customHeight="1">
      <x:c r="A50" s="75"/>
      <x:c r="B50" s="82"/>
      <x:c r="C50" s="82"/>
      <x:c r="D50" s="83"/>
      <x:c r="E50" s="93"/>
      <x:c r="F50" s="84">
        <x:f t="shared" si="5"/>
        <x:v>0</x:v>
      </x:c>
      <x:c r="G50" s="224"/>
      <x:c r="H50" s="225"/>
      <x:c r="I50" s="225"/>
      <x:c r="J50" s="225"/>
      <x:c r="K50" s="225"/>
      <x:c r="L50" s="225"/>
      <x:c r="M50" s="225"/>
      <x:c r="N50" s="117"/>
      <x:c r="O50" s="85"/>
      <x:c r="P50" s="85"/>
    </x:row>
    <x:row r="51" ht="15.75" customHeight="1">
      <x:c r="A51" s="75"/>
      <x:c r="B51" s="82"/>
      <x:c r="C51" s="82"/>
      <x:c r="D51" s="83"/>
      <x:c r="E51" s="83"/>
      <x:c r="F51" s="84">
        <x:f t="shared" si="5"/>
        <x:v>0</x:v>
      </x:c>
      <x:c r="G51" s="224"/>
      <x:c r="H51" s="225"/>
      <x:c r="I51" s="225"/>
      <x:c r="J51" s="225"/>
      <x:c r="K51" s="225"/>
      <x:c r="L51" s="225"/>
      <x:c r="M51" s="225"/>
      <x:c r="N51" s="117"/>
      <x:c r="O51" s="85"/>
      <x:c r="P51" s="85"/>
    </x:row>
    <x:row r="52" ht="15.75" customHeight="1">
      <x:c r="N52" s="131" t="n">
        <x:f>SUM(N47:N51)</x:f>
        <x:v>0</x:v>
      </x:c>
      <x:c r="O52" s="36"/>
    </x:row>
    <x:row r="53" ht="15.75" customHeight="1">
      <x:c r="O53" s="36"/>
    </x:row>
    <x:row r="54" ht="26.100000381469727" customHeight="1">
      <x:c r="A54" s="105">
        <x:v>27</x:v>
      </x:c>
      <x:c r="B54" s="221" t="s">
        <x:v>56</x:v>
      </x:c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49"/>
    </x:row>
    <x:row r="55" ht="15.75" customHeight="1">
      <x:c r="A55" s="75"/>
      <x:c r="B55" s="26" t="s">
        <x:v>23</x:v>
      </x:c>
      <x:c r="C55" s="26" t="s">
        <x:v>20</x:v>
      </x:c>
      <x:c r="D55" s="28">
        <x:v>46140</x:v>
      </x:c>
      <x:c r="E55" s="28">
        <x:v>46141</x:v>
      </x:c>
      <x:c r="F55" s="84" t="n">
        <x:f>DAYS360(D55,E55)</x:f>
        <x:v>1</x:v>
      </x:c>
      <x:c r="G55" s="224"/>
      <x:c r="H55" s="225"/>
      <x:c r="I55" s="225"/>
      <x:c r="J55" s="225"/>
      <x:c r="K55" s="225"/>
      <x:c r="L55" s="225"/>
      <x:c r="M55" s="225"/>
      <x:c r="N55" s="117"/>
      <x:c r="O55" s="85"/>
      <x:c r="P55" s="85"/>
    </x:row>
    <x:row r="56" ht="15.75" customHeight="1">
      <x:c r="A56" s="75"/>
      <x:c r="B56" s="82"/>
      <x:c r="C56" s="82"/>
      <x:c r="D56" s="83"/>
      <x:c r="E56" s="83"/>
      <x:c r="F56" s="84" t="e">
        <x:f t="shared" ref="F56:F59" si="6">DAYS360(D56,E56)</x:f>
      </x:c>
      <x:c r="G56" s="224"/>
      <x:c r="H56" s="225"/>
      <x:c r="I56" s="225"/>
      <x:c r="J56" s="225"/>
      <x:c r="K56" s="225"/>
      <x:c r="L56" s="225"/>
      <x:c r="M56" s="225"/>
      <x:c r="N56" s="117"/>
      <x:c r="O56" s="85"/>
      <x:c r="P56" s="85"/>
    </x:row>
    <x:row r="57" ht="15.75" customHeight="1">
      <x:c r="A57" s="75"/>
      <x:c r="B57" s="82"/>
      <x:c r="C57" s="82"/>
      <x:c r="D57" s="83"/>
      <x:c r="E57" s="93"/>
      <x:c r="F57" s="84">
        <x:f t="shared" si="6"/>
        <x:v>0</x:v>
      </x:c>
      <x:c r="G57" s="224"/>
      <x:c r="H57" s="225"/>
      <x:c r="I57" s="225"/>
      <x:c r="J57" s="225"/>
      <x:c r="K57" s="225"/>
      <x:c r="L57" s="225"/>
      <x:c r="M57" s="225"/>
      <x:c r="N57" s="117"/>
      <x:c r="O57" s="85"/>
      <x:c r="P57" s="85"/>
    </x:row>
    <x:row r="58" ht="15.75" customHeight="1">
      <x:c r="A58" s="75"/>
      <x:c r="B58" s="82"/>
      <x:c r="C58" s="82"/>
      <x:c r="D58" s="83"/>
      <x:c r="E58" s="93"/>
      <x:c r="F58" s="84">
        <x:f t="shared" si="6"/>
        <x:v>0</x:v>
      </x:c>
      <x:c r="G58" s="224"/>
      <x:c r="H58" s="225"/>
      <x:c r="I58" s="225"/>
      <x:c r="J58" s="225"/>
      <x:c r="K58" s="225"/>
      <x:c r="L58" s="225"/>
      <x:c r="M58" s="225"/>
      <x:c r="N58" s="117"/>
      <x:c r="O58" s="85"/>
      <x:c r="P58" s="85"/>
    </x:row>
    <x:row r="59" ht="15.75" customHeight="1">
      <x:c r="A59" s="75"/>
      <x:c r="B59" s="82"/>
      <x:c r="C59" s="82"/>
      <x:c r="D59" s="83"/>
      <x:c r="E59" s="83"/>
      <x:c r="F59" s="84">
        <x:f t="shared" si="6"/>
        <x:v>0</x:v>
      </x:c>
      <x:c r="G59" s="224"/>
      <x:c r="H59" s="225"/>
      <x:c r="I59" s="225"/>
      <x:c r="J59" s="225"/>
      <x:c r="K59" s="225"/>
      <x:c r="L59" s="225"/>
      <x:c r="M59" s="225"/>
      <x:c r="N59" s="117"/>
      <x:c r="O59" s="85"/>
      <x:c r="P59" s="85"/>
    </x:row>
    <x:row r="60" ht="15.75" customHeight="1">
      <x:c r="N60" s="131" t="n">
        <x:f>SUM(N55:N59)</x:f>
        <x:v>0</x:v>
      </x:c>
      <x:c r="O60" s="36"/>
    </x:row>
    <x:row r="61" ht="15.75" customHeight="1">
      <x:c r="O61" s="36"/>
    </x:row>
    <x:row r="62" ht="26.100000381469727" customHeight="1">
      <x:c r="A62" s="105">
        <x:v>28</x:v>
      </x:c>
      <x:c r="B62" s="221" t="s">
        <x:v>57</x:v>
      </x:c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  <x:c r="P62" s="49"/>
    </x:row>
    <x:row r="63" ht="15.75" customHeight="1">
      <x:c r="A63" s="75"/>
      <x:c r="B63" s="26" t="s">
        <x:v>23</x:v>
      </x:c>
      <x:c r="C63" s="26" t="s">
        <x:v>20</x:v>
      </x:c>
      <x:c r="D63" s="28">
        <x:v>46140</x:v>
      </x:c>
      <x:c r="E63" s="28">
        <x:v>46141</x:v>
      </x:c>
      <x:c r="F63" s="84" t="n">
        <x:f>DAYS360(D63,E63)</x:f>
        <x:v>1</x:v>
      </x:c>
      <x:c r="G63" s="224"/>
      <x:c r="H63" s="225"/>
      <x:c r="I63" s="225"/>
      <x:c r="J63" s="225"/>
      <x:c r="K63" s="225"/>
      <x:c r="L63" s="225"/>
      <x:c r="M63" s="225"/>
      <x:c r="N63" s="117"/>
      <x:c r="O63" s="85"/>
      <x:c r="P63" s="85"/>
    </x:row>
    <x:row r="64" ht="15.75" customHeight="1">
      <x:c r="A64" s="75"/>
      <x:c r="B64" s="82"/>
      <x:c r="C64" s="82"/>
      <x:c r="D64" s="83"/>
      <x:c r="E64" s="83"/>
      <x:c r="F64" s="84" t="e">
        <x:f t="shared" ref="F64:F67" si="7">DAYS360(D64,E64)</x:f>
      </x:c>
      <x:c r="G64" s="224"/>
      <x:c r="H64" s="225"/>
      <x:c r="I64" s="225"/>
      <x:c r="J64" s="225"/>
      <x:c r="K64" s="225"/>
      <x:c r="L64" s="225"/>
      <x:c r="M64" s="225"/>
      <x:c r="N64" s="117"/>
      <x:c r="O64" s="85"/>
      <x:c r="P64" s="85"/>
    </x:row>
    <x:row r="65" ht="15.75" customHeight="1">
      <x:c r="A65" s="75"/>
      <x:c r="B65" s="82"/>
      <x:c r="C65" s="82"/>
      <x:c r="D65" s="83"/>
      <x:c r="E65" s="93"/>
      <x:c r="F65" s="84">
        <x:f t="shared" si="7"/>
        <x:v>0</x:v>
      </x:c>
      <x:c r="G65" s="224"/>
      <x:c r="H65" s="225"/>
      <x:c r="I65" s="225"/>
      <x:c r="J65" s="225"/>
      <x:c r="K65" s="225"/>
      <x:c r="L65" s="225"/>
      <x:c r="M65" s="225"/>
      <x:c r="N65" s="117"/>
      <x:c r="O65" s="85"/>
      <x:c r="P65" s="85"/>
    </x:row>
    <x:row r="66" ht="15.75" customHeight="1">
      <x:c r="A66" s="75"/>
      <x:c r="B66" s="82"/>
      <x:c r="C66" s="82"/>
      <x:c r="D66" s="83"/>
      <x:c r="E66" s="93"/>
      <x:c r="F66" s="84">
        <x:f t="shared" si="7"/>
        <x:v>0</x:v>
      </x:c>
      <x:c r="G66" s="224"/>
      <x:c r="H66" s="225"/>
      <x:c r="I66" s="225"/>
      <x:c r="J66" s="225"/>
      <x:c r="K66" s="225"/>
      <x:c r="L66" s="225"/>
      <x:c r="M66" s="225"/>
      <x:c r="N66" s="117"/>
      <x:c r="O66" s="85"/>
      <x:c r="P66" s="85"/>
    </x:row>
    <x:row r="67" ht="15.75" customHeight="1">
      <x:c r="A67" s="75"/>
      <x:c r="B67" s="82"/>
      <x:c r="C67" s="82"/>
      <x:c r="D67" s="83"/>
      <x:c r="E67" s="83"/>
      <x:c r="F67" s="84">
        <x:f t="shared" si="7"/>
        <x:v>0</x:v>
      </x:c>
      <x:c r="G67" s="224"/>
      <x:c r="H67" s="225"/>
      <x:c r="I67" s="225"/>
      <x:c r="J67" s="225"/>
      <x:c r="K67" s="225"/>
      <x:c r="L67" s="225"/>
      <x:c r="M67" s="225"/>
      <x:c r="N67" s="117"/>
      <x:c r="O67" s="85"/>
      <x:c r="P67" s="85"/>
    </x:row>
    <x:row r="68" ht="15.75" customHeight="1">
      <x:c r="N68" s="131" t="n">
        <x:f>SUM(N63:N67)</x:f>
        <x:v>0</x:v>
      </x:c>
      <x:c r="O68" s="36"/>
    </x:row>
    <x:row r="69" ht="15.75" customHeight="1">
      <x:c r="O69" s="36"/>
    </x:row>
    <x:row r="70" ht="26.100000381469727" customHeight="1">
      <x:c r="A70" s="105">
        <x:v>29</x:v>
      </x:c>
      <x:c r="B70" s="221" t="s">
        <x:v>58</x:v>
      </x:c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49"/>
    </x:row>
    <x:row r="71" ht="15.75" customHeight="1">
      <x:c r="A71" s="75"/>
      <x:c r="B71" s="26" t="s">
        <x:v>23</x:v>
      </x:c>
      <x:c r="C71" s="26" t="s">
        <x:v>20</x:v>
      </x:c>
      <x:c r="D71" s="28">
        <x:v>46140</x:v>
      </x:c>
      <x:c r="E71" s="28">
        <x:v>46141</x:v>
      </x:c>
      <x:c r="F71" s="84" t="n">
        <x:f>DAYS360(D71,E71)</x:f>
        <x:v>1</x:v>
      </x:c>
      <x:c r="G71" s="224"/>
      <x:c r="H71" s="225"/>
      <x:c r="I71" s="225"/>
      <x:c r="J71" s="225"/>
      <x:c r="K71" s="225"/>
      <x:c r="L71" s="225"/>
      <x:c r="M71" s="225"/>
      <x:c r="N71" s="117"/>
      <x:c r="O71" s="85"/>
      <x:c r="P71" s="85"/>
    </x:row>
    <x:row r="72" ht="15.75" customHeight="1">
      <x:c r="A72" s="75"/>
      <x:c r="B72" s="82"/>
      <x:c r="C72" s="82"/>
      <x:c r="D72" s="83"/>
      <x:c r="E72" s="83"/>
      <x:c r="F72" s="84" t="e">
        <x:f t="shared" ref="F72:F75" si="8">DAYS360(D72,E72)</x:f>
      </x:c>
      <x:c r="G72" s="224"/>
      <x:c r="H72" s="225"/>
      <x:c r="I72" s="225"/>
      <x:c r="J72" s="225"/>
      <x:c r="K72" s="225"/>
      <x:c r="L72" s="225"/>
      <x:c r="M72" s="225"/>
      <x:c r="N72" s="117"/>
      <x:c r="O72" s="85"/>
      <x:c r="P72" s="85"/>
    </x:row>
    <x:row r="73" ht="15.75" customHeight="1">
      <x:c r="A73" s="75"/>
      <x:c r="B73" s="82"/>
      <x:c r="C73" s="82"/>
      <x:c r="D73" s="83"/>
      <x:c r="E73" s="93"/>
      <x:c r="F73" s="84">
        <x:f t="shared" si="8"/>
        <x:v>0</x:v>
      </x:c>
      <x:c r="G73" s="224"/>
      <x:c r="H73" s="225"/>
      <x:c r="I73" s="225"/>
      <x:c r="J73" s="225"/>
      <x:c r="K73" s="225"/>
      <x:c r="L73" s="225"/>
      <x:c r="M73" s="225"/>
      <x:c r="N73" s="117"/>
      <x:c r="O73" s="85"/>
      <x:c r="P73" s="85"/>
    </x:row>
    <x:row r="74" ht="15.75" customHeight="1">
      <x:c r="A74" s="75"/>
      <x:c r="B74" s="82"/>
      <x:c r="C74" s="82"/>
      <x:c r="D74" s="83"/>
      <x:c r="E74" s="93"/>
      <x:c r="F74" s="84">
        <x:f t="shared" si="8"/>
        <x:v>0</x:v>
      </x:c>
      <x:c r="G74" s="224"/>
      <x:c r="H74" s="225"/>
      <x:c r="I74" s="225"/>
      <x:c r="J74" s="225"/>
      <x:c r="K74" s="225"/>
      <x:c r="L74" s="225"/>
      <x:c r="M74" s="225"/>
      <x:c r="N74" s="117"/>
      <x:c r="O74" s="85"/>
      <x:c r="P74" s="85"/>
    </x:row>
    <x:row r="75" ht="15.75" customHeight="1">
      <x:c r="A75" s="75"/>
      <x:c r="B75" s="82"/>
      <x:c r="C75" s="82"/>
      <x:c r="D75" s="83"/>
      <x:c r="E75" s="83"/>
      <x:c r="F75" s="84">
        <x:f t="shared" si="8"/>
        <x:v>0</x:v>
      </x:c>
      <x:c r="G75" s="224"/>
      <x:c r="H75" s="225"/>
      <x:c r="I75" s="225"/>
      <x:c r="J75" s="225"/>
      <x:c r="K75" s="225"/>
      <x:c r="L75" s="225"/>
      <x:c r="M75" s="225"/>
      <x:c r="N75" s="117"/>
      <x:c r="O75" s="85"/>
      <x:c r="P75" s="85"/>
    </x:row>
    <x:row r="76" ht="15.75" customHeight="1">
      <x:c r="N76" s="131" t="n">
        <x:f>SUM(N71:N75)</x:f>
        <x:v>0</x:v>
      </x:c>
      <x:c r="O76" s="36"/>
    </x:row>
    <x:row r="77" ht="15.75" customHeight="1">
      <x:c r="O77" s="36"/>
    </x:row>
    <x:row r="78" ht="26.100000381469727" customHeight="1">
      <x:c r="A78" s="105">
        <x:v>30</x:v>
      </x:c>
      <x:c r="B78" s="221" t="s">
        <x:v>59</x:v>
      </x:c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49"/>
    </x:row>
    <x:row r="79" ht="15.75" customHeight="1">
      <x:c r="A79" s="75"/>
      <x:c r="B79" s="26" t="s">
        <x:v>60</x:v>
      </x:c>
      <x:c r="C79" s="26" t="s">
        <x:v>9</x:v>
      </x:c>
      <x:c r="D79" s="28">
        <x:v>46140</x:v>
      </x:c>
      <x:c r="E79" s="28">
        <x:v>46141</x:v>
      </x:c>
      <x:c r="F79" s="84" t="n">
        <x:f>DAYS360(D79,E79)</x:f>
        <x:v>1</x:v>
      </x:c>
      <x:c r="G79" s="228" t="s">
        <x:v>61</x:v>
      </x:c>
      <x:c r="H79" s="229"/>
      <x:c r="I79" s="229"/>
      <x:c r="J79" s="229"/>
      <x:c r="K79" s="229"/>
      <x:c r="L79" s="229"/>
      <x:c r="M79" s="229"/>
      <x:c r="N79" s="117">
        <x:v>385000</x:v>
      </x:c>
      <x:c r="O79" s="85"/>
      <x:c r="P79" s="85"/>
    </x:row>
    <x:row r="80" ht="15.75" customHeight="1">
      <x:c r="A80" s="75"/>
      <x:c r="B80" s="82"/>
      <x:c r="C80" s="82"/>
      <x:c r="D80" s="83"/>
      <x:c r="E80" s="83"/>
      <x:c r="F80" s="84" t="e">
        <x:f t="shared" ref="F80:F83" si="9">DAYS360(D80,E80)</x:f>
      </x:c>
      <x:c r="G80" s="224"/>
      <x:c r="H80" s="225"/>
      <x:c r="I80" s="225"/>
      <x:c r="J80" s="225"/>
      <x:c r="K80" s="225"/>
      <x:c r="L80" s="225"/>
      <x:c r="M80" s="225"/>
      <x:c r="N80" s="117"/>
      <x:c r="O80" s="85"/>
      <x:c r="P80" s="85"/>
    </x:row>
    <x:row r="81" ht="15.75" customHeight="1">
      <x:c r="A81" s="75"/>
      <x:c r="B81" s="82"/>
      <x:c r="C81" s="82"/>
      <x:c r="D81" s="83"/>
      <x:c r="E81" s="93"/>
      <x:c r="F81" s="84">
        <x:f t="shared" si="9"/>
        <x:v>0</x:v>
      </x:c>
      <x:c r="G81" s="224"/>
      <x:c r="H81" s="225"/>
      <x:c r="I81" s="225"/>
      <x:c r="J81" s="225"/>
      <x:c r="K81" s="225"/>
      <x:c r="L81" s="225"/>
      <x:c r="M81" s="225"/>
      <x:c r="N81" s="117"/>
      <x:c r="O81" s="85"/>
      <x:c r="P81" s="85"/>
    </x:row>
    <x:row r="82" ht="15.75" customHeight="1">
      <x:c r="A82" s="75"/>
      <x:c r="B82" s="82"/>
      <x:c r="C82" s="82"/>
      <x:c r="D82" s="83"/>
      <x:c r="E82" s="93"/>
      <x:c r="F82" s="84">
        <x:f t="shared" si="9"/>
        <x:v>0</x:v>
      </x:c>
      <x:c r="G82" s="224"/>
      <x:c r="H82" s="225"/>
      <x:c r="I82" s="225"/>
      <x:c r="J82" s="225"/>
      <x:c r="K82" s="225"/>
      <x:c r="L82" s="225"/>
      <x:c r="M82" s="225"/>
      <x:c r="N82" s="117"/>
      <x:c r="O82" s="85"/>
      <x:c r="P82" s="85"/>
    </x:row>
    <x:row r="83" ht="15.75" customHeight="1">
      <x:c r="A83" s="75"/>
      <x:c r="B83" s="82"/>
      <x:c r="C83" s="82"/>
      <x:c r="D83" s="83"/>
      <x:c r="E83" s="83"/>
      <x:c r="F83" s="84">
        <x:f t="shared" si="9"/>
        <x:v>0</x:v>
      </x:c>
      <x:c r="G83" s="224"/>
      <x:c r="H83" s="225"/>
      <x:c r="I83" s="225"/>
      <x:c r="J83" s="225"/>
      <x:c r="K83" s="225"/>
      <x:c r="L83" s="225"/>
      <x:c r="M83" s="225"/>
      <x:c r="N83" s="117"/>
      <x:c r="O83" s="85"/>
      <x:c r="P83" s="85"/>
    </x:row>
    <x:row r="84" ht="15.75" customHeight="1">
      <x:c r="N84" s="131" t="n">
        <x:f>SUM(N79:N83)</x:f>
        <x:v>385000</x:v>
      </x:c>
      <x:c r="O84" s="36"/>
    </x:row>
    <x:row r="85" ht="15.75" customHeight="1">
      <x:c r="O85" s="36"/>
    </x:row>
    <x:row r="86" ht="15.75" customHeight="1">
      <x:c r="O86" s="36"/>
    </x:row>
    <x:row r="87" ht="15.75" customHeight="1">
      <x:c r="O87" s="36"/>
    </x:row>
    <x:row r="88" ht="15.75" customHeight="1">
      <x:c r="O88" s="36"/>
    </x:row>
    <x:row r="89" ht="15.75" customHeight="1">
      <x:c r="O89" s="36"/>
    </x:row>
    <x:row r="90" ht="15.75" customHeight="1">
      <x:c r="O90" s="36"/>
    </x:row>
    <x:row r="91" ht="15.75" customHeight="1">
      <x:c r="O91" s="36"/>
    </x:row>
    <x:row r="92" ht="15.75" customHeight="1">
      <x:c r="O92" s="36"/>
    </x:row>
    <x:row r="93" ht="15.75" customHeight="1">
      <x:c r="O93" s="36"/>
    </x:row>
    <x:row r="94" ht="15.75" customHeight="1">
      <x:c r="O94" s="36"/>
    </x:row>
    <x:row r="95" ht="15.75" customHeight="1">
      <x:c r="O95" s="36"/>
    </x:row>
    <x:row r="96" ht="15.75" customHeight="1">
      <x:c r="O96" s="36"/>
    </x:row>
    <x:row r="97" ht="15.75" customHeight="1">
      <x:c r="O97" s="36"/>
    </x:row>
    <x:row r="98" ht="15.75" customHeight="1">
      <x:c r="O98" s="36"/>
    </x:row>
    <x:row r="99" ht="15.75" customHeight="1">
      <x:c r="O99" s="36"/>
    </x:row>
    <x:row r="100" ht="15.75" customHeight="1">
      <x:c r="O100" s="36"/>
    </x:row>
    <x:row r="101" ht="15.75" customHeight="1">
      <x:c r="O101" s="36"/>
    </x:row>
    <x:row r="102" ht="15.75" customHeight="1">
      <x:c r="O102" s="36"/>
    </x:row>
    <x:row r="103" ht="15.75" customHeight="1">
      <x:c r="O103" s="36"/>
    </x:row>
    <x:row r="104" ht="15.75" customHeight="1">
      <x:c r="O104" s="36"/>
    </x:row>
    <x:row r="105" ht="15.75" customHeight="1">
      <x:c r="O105" s="36"/>
    </x:row>
    <x:row r="106" ht="15.75" customHeight="1">
      <x:c r="O106" s="36"/>
    </x:row>
    <x:row r="107" ht="15.75" customHeight="1">
      <x:c r="O107" s="36"/>
    </x:row>
    <x:row r="108" ht="15.75" customHeight="1">
      <x:c r="O108" s="36"/>
    </x:row>
    <x:row r="109" ht="15.75" customHeight="1">
      <x:c r="O109" s="36"/>
    </x:row>
    <x:row r="110" ht="15.75" customHeight="1">
      <x:c r="O110" s="36"/>
    </x:row>
    <x:row r="111" ht="15.75" customHeight="1">
      <x:c r="O111" s="36"/>
    </x:row>
    <x:row r="112" ht="15.75" customHeight="1">
      <x:c r="O112" s="36"/>
    </x:row>
    <x:row r="113" ht="15.75" customHeight="1">
      <x:c r="O113" s="36"/>
    </x:row>
    <x:row r="114" ht="15.75" customHeight="1">
      <x:c r="O114" s="36"/>
    </x:row>
    <x:row r="115" ht="15.75" customHeight="1">
      <x:c r="O115" s="36"/>
    </x:row>
    <x:row r="116" ht="15.75" customHeight="1">
      <x:c r="O116" s="36"/>
    </x:row>
    <x:row r="117" ht="15.75" customHeight="1">
      <x:c r="O117" s="36"/>
    </x:row>
    <x:row r="118" ht="15.75" customHeight="1">
      <x:c r="O118" s="36"/>
    </x:row>
    <x:row r="119" ht="15.75" customHeight="1">
      <x:c r="O119" s="36"/>
    </x:row>
    <x:row r="120" ht="15.75" customHeight="1">
      <x:c r="O120" s="36"/>
    </x:row>
    <x:row r="121" ht="15.75" customHeight="1">
      <x:c r="O121" s="36"/>
    </x:row>
    <x:row r="122" ht="15.75" customHeight="1">
      <x:c r="O122" s="36"/>
    </x:row>
    <x:row r="123" ht="15.75" customHeight="1">
      <x:c r="O123" s="36"/>
    </x:row>
    <x:row r="124" ht="15.75" customHeight="1">
      <x:c r="O124" s="36"/>
    </x:row>
    <x:row r="125" ht="15.75" customHeight="1">
      <x:c r="O125" s="36"/>
    </x:row>
    <x:row r="126" ht="15.75" customHeight="1">
      <x:c r="O126" s="36"/>
    </x:row>
    <x:row r="127" ht="15.75" customHeight="1">
      <x:c r="O127" s="36"/>
    </x:row>
    <x:row r="128" ht="15.75" customHeight="1">
      <x:c r="O128" s="36"/>
    </x:row>
    <x:row r="129" ht="15.75" customHeight="1">
      <x:c r="O129" s="36"/>
    </x:row>
    <x:row r="130" ht="15.75" customHeight="1">
      <x:c r="O130" s="36"/>
    </x:row>
    <x:row r="131" ht="15.75" customHeight="1">
      <x:c r="O131" s="36"/>
    </x:row>
    <x:row r="132" ht="15.75" customHeight="1">
      <x:c r="O132" s="36"/>
    </x:row>
    <x:row r="133" ht="15.75" customHeight="1">
      <x:c r="O133" s="36"/>
    </x:row>
    <x:row r="134" ht="15.75" customHeight="1">
      <x:c r="O134" s="36"/>
    </x:row>
    <x:row r="135" ht="15.75" customHeight="1">
      <x:c r="O135" s="36"/>
    </x:row>
    <x:row r="136" ht="15.75" customHeight="1">
      <x:c r="O136" s="36"/>
    </x:row>
    <x:row r="137" ht="15.75" customHeight="1">
      <x:c r="O137" s="36"/>
    </x:row>
    <x:row r="138" ht="15.75" customHeight="1">
      <x:c r="O138" s="36"/>
    </x:row>
    <x:row r="139" ht="15.75" customHeight="1">
      <x:c r="O139" s="36"/>
    </x:row>
    <x:row r="140" ht="15.75" customHeight="1">
      <x:c r="O140" s="36"/>
    </x:row>
    <x:row r="141" ht="15.75" customHeight="1">
      <x:c r="O141" s="36"/>
    </x:row>
    <x:row r="142" ht="15.75" customHeight="1">
      <x:c r="O142" s="36"/>
    </x:row>
    <x:row r="143" ht="15.75" customHeight="1">
      <x:c r="O143" s="36"/>
    </x:row>
    <x:row r="144" ht="15.75" customHeight="1">
      <x:c r="O144" s="36"/>
    </x:row>
    <x:row r="145" ht="15.75" customHeight="1">
      <x:c r="O145" s="36"/>
    </x:row>
    <x:row r="146" ht="15.75" customHeight="1">
      <x:c r="O146" s="36"/>
    </x:row>
    <x:row r="147" ht="15.75" customHeight="1">
      <x:c r="O147" s="36"/>
    </x:row>
    <x:row r="148" ht="15.75" customHeight="1">
      <x:c r="O148" s="36"/>
    </x:row>
    <x:row r="149" ht="15.75" customHeight="1">
      <x:c r="O149" s="36"/>
    </x:row>
    <x:row r="150" ht="15.75" customHeight="1">
      <x:c r="O150" s="36"/>
    </x:row>
    <x:row r="151" ht="15.75" customHeight="1">
      <x:c r="O151" s="36"/>
    </x:row>
    <x:row r="152" ht="15.75" customHeight="1">
      <x:c r="O152" s="36"/>
    </x:row>
    <x:row r="153" ht="15.75" customHeight="1">
      <x:c r="O153" s="36"/>
    </x:row>
    <x:row r="154" ht="15.75" customHeight="1">
      <x:c r="O154" s="36"/>
    </x:row>
    <x:row r="155" ht="15.75" customHeight="1">
      <x:c r="O155" s="36"/>
    </x:row>
    <x:row r="156" ht="15.75" customHeight="1">
      <x:c r="O156" s="36"/>
    </x:row>
    <x:row r="157" ht="15.75" customHeight="1">
      <x:c r="O157" s="36"/>
    </x:row>
    <x:row r="158" ht="15.75" customHeight="1">
      <x:c r="O158" s="36"/>
    </x:row>
    <x:row r="159" ht="15.75" customHeight="1">
      <x:c r="O159" s="36"/>
    </x:row>
    <x:row r="160" ht="15.75" customHeight="1">
      <x:c r="O160" s="36"/>
    </x:row>
    <x:row r="161" ht="15.75" customHeight="1">
      <x:c r="O161" s="36"/>
    </x:row>
    <x:row r="162" ht="15.75" customHeight="1">
      <x:c r="O162" s="36"/>
    </x:row>
    <x:row r="163" ht="15.75" customHeight="1">
      <x:c r="O163" s="36"/>
    </x:row>
    <x:row r="164" ht="15.75" customHeight="1">
      <x:c r="O164" s="36"/>
    </x:row>
    <x:row r="165" ht="15.75" customHeight="1">
      <x:c r="O165" s="36"/>
    </x:row>
    <x:row r="166" ht="15.75" customHeight="1">
      <x:c r="O166" s="36"/>
    </x:row>
    <x:row r="167" ht="15.75" customHeight="1">
      <x:c r="O167" s="36"/>
    </x:row>
    <x:row r="168" ht="15.75" customHeight="1">
      <x:c r="O168" s="36"/>
    </x:row>
    <x:row r="169" ht="15.75" customHeight="1">
      <x:c r="O169" s="36"/>
    </x:row>
    <x:row r="170" ht="15.75" customHeight="1">
      <x:c r="O170" s="36"/>
    </x:row>
    <x:row r="171" ht="15.75" customHeight="1">
      <x:c r="O171" s="36"/>
    </x:row>
    <x:row r="172" ht="15.75" customHeight="1">
      <x:c r="O172" s="36"/>
    </x:row>
    <x:row r="173" ht="15.75" customHeight="1">
      <x:c r="O173" s="36"/>
    </x:row>
    <x:row r="174" ht="15.75" customHeight="1">
      <x:c r="O174" s="36"/>
    </x:row>
    <x:row r="175" ht="15.75" customHeight="1">
      <x:c r="O175" s="36"/>
    </x:row>
    <x:row r="176" ht="15.75" customHeight="1">
      <x:c r="O176" s="36"/>
    </x:row>
    <x:row r="177" ht="15.75" customHeight="1">
      <x:c r="O177" s="36"/>
    </x:row>
    <x:row r="178" ht="15.75" customHeight="1">
      <x:c r="O178" s="36"/>
    </x:row>
    <x:row r="179" ht="15.75" customHeight="1">
      <x:c r="O179" s="36"/>
    </x:row>
    <x:row r="180" ht="15.75" customHeight="1">
      <x:c r="O180" s="36"/>
    </x:row>
    <x:row r="181" ht="15.75" customHeight="1">
      <x:c r="O181" s="36"/>
    </x:row>
    <x:row r="182" ht="15.75" customHeight="1">
      <x:c r="O182" s="36"/>
    </x:row>
    <x:row r="183" ht="15.75" customHeight="1">
      <x:c r="O183" s="36"/>
    </x:row>
    <x:row r="184" ht="15.75" customHeight="1">
      <x:c r="O184" s="36"/>
    </x:row>
    <x:row r="185" ht="15.75" customHeight="1">
      <x:c r="O185" s="36"/>
    </x:row>
    <x:row r="186" ht="15.75" customHeight="1">
      <x:c r="O186" s="36"/>
    </x:row>
    <x:row r="187" ht="15.75" customHeight="1">
      <x:c r="O187" s="36"/>
    </x:row>
    <x:row r="188" ht="15.75" customHeight="1">
      <x:c r="O188" s="36"/>
    </x:row>
    <x:row r="189" ht="15.75" customHeight="1">
      <x:c r="O189" s="36"/>
    </x:row>
    <x:row r="190" ht="15.75" customHeight="1">
      <x:c r="O190" s="36"/>
    </x:row>
    <x:row r="191" ht="15.75" customHeight="1">
      <x:c r="O191" s="36"/>
    </x:row>
    <x:row r="192" ht="15.75" customHeight="1">
      <x:c r="O192" s="36"/>
    </x:row>
    <x:row r="193" ht="15.75" customHeight="1">
      <x:c r="O193" s="36"/>
    </x:row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</x:sheetData>
  <x:mergeCells>
    <x:mergeCell ref="G15:M15"/>
    <x:mergeCell ref="G16:M16"/>
    <x:mergeCell ref="G17:M17"/>
    <x:mergeCell ref="G18:M18"/>
    <x:mergeCell ref="G19:M19"/>
    <x:mergeCell ref="G31:M31"/>
    <x:mergeCell ref="G32:M32"/>
    <x:mergeCell ref="G33:M33"/>
    <x:mergeCell ref="G34:M34"/>
    <x:mergeCell ref="G35:M35"/>
    <x:mergeCell ref="G49:M49"/>
    <x:mergeCell ref="G50:M50"/>
    <x:mergeCell ref="G51:M51"/>
    <x:mergeCell ref="G39:M39"/>
    <x:mergeCell ref="G40:M40"/>
    <x:mergeCell ref="G41:M41"/>
    <x:mergeCell ref="G42:M42"/>
    <x:mergeCell ref="G43:M43"/>
    <x:mergeCell ref="G55:M55"/>
    <x:mergeCell ref="G56:M56"/>
    <x:mergeCell ref="G57:M57"/>
    <x:mergeCell ref="G58:M58"/>
    <x:mergeCell ref="G59:M59"/>
    <x:mergeCell ref="G74:M74"/>
    <x:mergeCell ref="G75:M75"/>
    <x:mergeCell ref="G63:M63"/>
    <x:mergeCell ref="G64:M64"/>
    <x:mergeCell ref="G65:M65"/>
    <x:mergeCell ref="G66:M66"/>
    <x:mergeCell ref="G67:M67"/>
    <x:mergeCell ref="G82:M82"/>
    <x:mergeCell ref="G83:M83"/>
    <x:mergeCell ref="B38:O38"/>
    <x:mergeCell ref="B46:O46"/>
    <x:mergeCell ref="G47:M47"/>
    <x:mergeCell ref="G48:M48"/>
    <x:mergeCell ref="B54:O54"/>
    <x:mergeCell ref="B62:O62"/>
    <x:mergeCell ref="B70:O70"/>
    <x:mergeCell ref="B78:O78"/>
    <x:mergeCell ref="G79:M79"/>
    <x:mergeCell ref="G80:M80"/>
    <x:mergeCell ref="G81:M81"/>
    <x:mergeCell ref="G71:M71"/>
    <x:mergeCell ref="G72:M72"/>
    <x:mergeCell ref="G73:M73"/>
    <x:mergeCell ref="B30:O30"/>
    <x:mergeCell ref="G21:N21"/>
    <x:mergeCell ref="B22:O22"/>
    <x:mergeCell ref="G23:M23"/>
    <x:mergeCell ref="G24:M24"/>
    <x:mergeCell ref="G25:M25"/>
    <x:mergeCell ref="G26:M26"/>
    <x:mergeCell ref="G27:M27"/>
    <x:mergeCell ref="B2:F2"/>
    <x:mergeCell ref="I2:O2"/>
    <x:mergeCell ref="B4:P4"/>
    <x:mergeCell ref="B6:O6"/>
    <x:mergeCell ref="B14:O14"/>
    <x:mergeCell ref="G7:M7"/>
    <x:mergeCell ref="G8:M8"/>
    <x:mergeCell ref="G9:M9"/>
    <x:mergeCell ref="G10:M10"/>
    <x:mergeCell ref="G11:M11"/>
    <x:mergeCell ref="G5:M5"/>
  </x:mergeCells>
  <x:conditionalFormatting sqref="P28:P29 P1:P4 P36:P37 P44:P45 P52:P53 P60:P61 P68:P69 P76:P77 P84:P968 P12:P22 P6:P6">
    <x:cfRule type="cellIs" dxfId="90" priority="26" operator="equal">
      <x:formula>"미완료"</x:formula>
    </x:cfRule>
  </x:conditionalFormatting>
  <x:conditionalFormatting sqref="P30:P30">
    <x:cfRule type="cellIs" dxfId="89" priority="24" operator="equal">
      <x:formula>"미완료"</x:formula>
    </x:cfRule>
  </x:conditionalFormatting>
  <x:conditionalFormatting sqref="P38:P38">
    <x:cfRule type="cellIs" dxfId="88" priority="22" operator="equal">
      <x:formula>"미완료"</x:formula>
    </x:cfRule>
  </x:conditionalFormatting>
  <x:conditionalFormatting sqref="P46:P46">
    <x:cfRule type="cellIs" dxfId="87" priority="20" operator="equal">
      <x:formula>"미완료"</x:formula>
    </x:cfRule>
  </x:conditionalFormatting>
  <x:conditionalFormatting sqref="P54:P54">
    <x:cfRule type="cellIs" dxfId="86" priority="18" operator="equal">
      <x:formula>"미완료"</x:formula>
    </x:cfRule>
  </x:conditionalFormatting>
  <x:conditionalFormatting sqref="P62:P62">
    <x:cfRule type="cellIs" dxfId="85" priority="16" operator="equal">
      <x:formula>"미완료"</x:formula>
    </x:cfRule>
  </x:conditionalFormatting>
  <x:conditionalFormatting sqref="P70:P70">
    <x:cfRule type="cellIs" dxfId="84" priority="14" operator="equal">
      <x:formula>"미완료"</x:formula>
    </x:cfRule>
  </x:conditionalFormatting>
  <x:conditionalFormatting sqref="P78:P78">
    <x:cfRule type="cellIs" dxfId="83" priority="12" operator="equal">
      <x:formula>"미완료"</x:formula>
    </x:cfRule>
  </x:conditionalFormatting>
  <x:conditionalFormatting sqref="P7:P11">
    <x:cfRule type="cellIs" dxfId="82" priority="10" operator="equal">
      <x:formula>"미완료"</x:formula>
    </x:cfRule>
  </x:conditionalFormatting>
  <x:conditionalFormatting sqref="P23:P27">
    <x:cfRule type="cellIs" dxfId="81" priority="9" operator="equal">
      <x:formula>"미완료"</x:formula>
    </x:cfRule>
  </x:conditionalFormatting>
  <x:conditionalFormatting sqref="P31:P35">
    <x:cfRule type="cellIs" dxfId="80" priority="8" operator="equal">
      <x:formula>"미완료"</x:formula>
    </x:cfRule>
  </x:conditionalFormatting>
  <x:conditionalFormatting sqref="P39:P43">
    <x:cfRule type="cellIs" dxfId="79" priority="7" operator="equal">
      <x:formula>"미완료"</x:formula>
    </x:cfRule>
  </x:conditionalFormatting>
  <x:conditionalFormatting sqref="P47:P51">
    <x:cfRule type="cellIs" dxfId="78" priority="6" operator="equal">
      <x:formula>"미완료"</x:formula>
    </x:cfRule>
  </x:conditionalFormatting>
  <x:conditionalFormatting sqref="P55:P59">
    <x:cfRule type="cellIs" dxfId="77" priority="5" operator="equal">
      <x:formula>"미완료"</x:formula>
    </x:cfRule>
  </x:conditionalFormatting>
  <x:conditionalFormatting sqref="P63:P67">
    <x:cfRule type="cellIs" dxfId="76" priority="4" operator="equal">
      <x:formula>"미완료"</x:formula>
    </x:cfRule>
  </x:conditionalFormatting>
  <x:conditionalFormatting sqref="P71:P75">
    <x:cfRule type="cellIs" dxfId="75" priority="3" operator="equal">
      <x:formula>"미완료"</x:formula>
    </x:cfRule>
  </x:conditionalFormatting>
  <x:conditionalFormatting sqref="P79:P83">
    <x:cfRule type="cellIs" dxfId="74" priority="2" operator="equal">
      <x:formula>"미완료"</x:formula>
    </x:cfRule>
  </x:conditionalFormatting>
  <x:conditionalFormatting sqref="P5:P5">
    <x:cfRule type="cellIs" dxfId="73" priority="1" operator="equal">
      <x:formula>"미완료"</x:formula>
    </x:cfRule>
  </x:conditionalFormatting>
  <x:dataValidations count="4">
    <x:dataValidation type="list" allowBlank="1" sqref="C71:C75 C7:C12 C15:C21 C23:C27 C31:C35 C39:C43 C47:C51 C55:C59 C63:C67 C79:C83">
      <x:formula1>$T$3:$T$6</x:formula1>
    </x:dataValidation>
    <x:dataValidation type="list" allowBlank="1" showErrorMessage="1" sqref="P71:P75 P15:P21 P7:P11 P23:P27 P31:P35 P39:P43 P47:P51 P55:P59 P63:P67 P79:P83">
      <x:formula1>$R$13:$R$14</x:formula1>
    </x:dataValidation>
    <x:dataValidation type="list" allowBlank="1" sqref="B72:B75 B8:B12 B16:B21 B24:B27 B32:B35 B40:B43 B48:B51 B56:B59 B64:B67 B80:B83">
      <x:formula1>$R$3:$R$9</x:formula1>
    </x:dataValidation>
    <x:dataValidation type="list" allowBlank="1" sqref="B71 B15 B7 B23 B31 B39 B47 B55 B63 B79">
      <x:formula1>$R$3:$R$11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/>
  </x:sheetViews>
  <x:sheetFormatPr defaultColWidth="14.42578125" defaultRowHeight="15"/>
  <x:cols>
    <x:col min="1" max="1" width="4.85546875" style="36" customWidth="1"/>
    <x:col min="2" max="2" width="17.28515625" style="127" customWidth="1"/>
    <x:col min="3" max="6" width="15.140625" style="127" customWidth="1"/>
    <x:col min="7" max="13" width="11.7109375" style="127" customWidth="1"/>
    <x:col min="14" max="14" width="19.140625" style="127" customWidth="1"/>
    <x:col min="15" max="15" width="11.5703125" style="127" customWidth="1"/>
    <x:col min="16" max="16" width="10.42578125" style="127" customWidth="1"/>
    <x:col min="17" max="17" width="3.28515625" style="127" customWidth="1"/>
    <x:col min="18" max="18" width="17.140625" style="127" customWidth="1"/>
    <x:col min="19" max="19" width="3.28515625" style="127" customWidth="1"/>
    <x:col min="20" max="20" width="17.140625" style="127" customWidth="1"/>
    <x:col min="21" max="21" width="3.28515625" style="127" customWidth="1"/>
    <x:col min="22" max="16384" width="14.42578125" style="127" customWidth="0"/>
  </x:cols>
  <x:sheetData>
    <x:row r="1" ht="21" customHeight="1">
      <x:c r="A1" s="101"/>
      <x:c r="B1" s="1"/>
      <x:c r="C1" s="2"/>
      <x:c r="D1" s="3"/>
      <x:c r="E1" s="3"/>
      <x:c r="F1" s="4"/>
      <x:c r="G1" s="2"/>
      <x:c r="H1" s="2"/>
      <x:c r="I1" s="5"/>
      <x:c r="J1" s="6"/>
      <x:c r="K1" s="7"/>
      <x:c r="L1" s="6"/>
      <x:c r="M1" s="6"/>
      <x:c r="N1" s="6"/>
      <x:c r="O1" s="5"/>
      <x:c r="P1" s="9"/>
      <x:c r="Q1" s="8"/>
      <x:c r="R1" s="8"/>
      <x:c r="S1" s="8"/>
      <x:c r="T1" s="8"/>
      <x:c r="U1" s="8"/>
    </x:row>
    <x:row r="2" ht="24.75" customHeight="1">
      <x:c r="A2" s="101"/>
      <x:c r="B2" s="214" t="s">
        <x:v>0</x:v>
      </x:c>
      <x:c r="C2" s="215"/>
      <x:c r="D2" s="215"/>
      <x:c r="E2" s="215"/>
      <x:c r="F2" s="216"/>
      <x:c r="G2" s="10"/>
      <x:c r="H2" s="11" t="s">
        <x:v>1</x:v>
      </x:c>
      <x:c r="I2" s="217" t="s">
        <x:v>2</x:v>
      </x:c>
      <x:c r="J2" s="215"/>
      <x:c r="K2" s="215"/>
      <x:c r="L2" s="215"/>
      <x:c r="M2" s="215"/>
      <x:c r="N2" s="215"/>
      <x:c r="O2" s="216"/>
      <x:c r="Q2" s="12"/>
      <x:c r="R2" s="13" t="s">
        <x:v>3</x:v>
      </x:c>
      <x:c r="S2" s="13"/>
      <x:c r="T2" s="13" t="s">
        <x:v>4</x:v>
      </x:c>
      <x:c r="U2" s="12"/>
    </x:row>
    <x:row r="3" ht="21" customHeight="1">
      <x:c r="A3" s="101"/>
      <x:c r="B3" s="14"/>
      <x:c r="C3" s="14"/>
      <x:c r="D3" s="15"/>
      <x:c r="E3" s="15"/>
      <x:c r="F3" s="16"/>
      <x:c r="G3" s="17"/>
      <x:c r="H3" s="18"/>
      <x:c r="I3" s="19"/>
      <x:c r="J3" s="19"/>
      <x:c r="K3" s="19"/>
      <x:c r="L3" s="20"/>
      <x:c r="M3" s="20"/>
      <x:c r="N3" s="20"/>
      <x:c r="O3" s="39"/>
      <x:c r="P3" s="20"/>
      <x:c r="Q3" s="21"/>
      <x:c r="R3" s="22" t="s">
        <x:v>5</x:v>
      </x:c>
      <x:c r="S3" s="23"/>
      <x:c r="T3" s="22" t="s">
        <x:v>6</x:v>
      </x:c>
      <x:c r="U3" s="21"/>
    </x:row>
    <x:row r="4" ht="21" customHeight="1">
      <x:c r="A4" s="101"/>
      <x:c r="B4" s="218" t="s">
        <x:v>7</x:v>
      </x:c>
      <x:c r="C4" s="219"/>
      <x:c r="D4" s="219"/>
      <x:c r="E4" s="219"/>
      <x:c r="F4" s="219"/>
      <x:c r="G4" s="219"/>
      <x:c r="H4" s="219"/>
      <x:c r="I4" s="219"/>
      <x:c r="J4" s="219"/>
      <x:c r="K4" s="219"/>
      <x:c r="L4" s="219"/>
      <x:c r="M4" s="219"/>
      <x:c r="N4" s="219"/>
      <x:c r="O4" s="219"/>
      <x:c r="P4" s="220"/>
      <x:c r="Q4" s="21"/>
      <x:c r="R4" s="22" t="s">
        <x:v>8</x:v>
      </x:c>
      <x:c r="S4" s="23"/>
      <x:c r="T4" s="22" t="s">
        <x:v>9</x:v>
      </x:c>
      <x:c r="U4" s="21"/>
    </x:row>
    <x:row r="5" ht="21" customHeight="1">
      <x:c r="A5" s="101"/>
      <x:c r="B5" s="40" t="s">
        <x:v>10</x:v>
      </x:c>
      <x:c r="C5" s="41" t="s">
        <x:v>11</x:v>
      </x:c>
      <x:c r="D5" s="41" t="s">
        <x:v>12</x:v>
      </x:c>
      <x:c r="E5" s="40" t="s">
        <x:v>13</x:v>
      </x:c>
      <x:c r="F5" s="40" t="s">
        <x:v>14</x:v>
      </x:c>
      <x:c r="G5" s="223" t="s">
        <x:v>15</x:v>
      </x:c>
      <x:c r="H5" s="223"/>
      <x:c r="I5" s="223"/>
      <x:c r="J5" s="223"/>
      <x:c r="K5" s="223"/>
      <x:c r="L5" s="223"/>
      <x:c r="M5" s="223"/>
      <x:c r="N5" s="126" t="s">
        <x:v>16</x:v>
      </x:c>
      <x:c r="O5" s="41" t="s">
        <x:v>17</x:v>
      </x:c>
      <x:c r="P5" s="40" t="s">
        <x:v>18</x:v>
      </x:c>
      <x:c r="Q5" s="21"/>
      <x:c r="R5" s="22" t="s">
        <x:v>19</x:v>
      </x:c>
      <x:c r="S5" s="23"/>
      <x:c r="T5" s="22" t="s">
        <x:v>20</x:v>
      </x:c>
      <x:c r="U5" s="21"/>
    </x:row>
    <x:row r="6" ht="30" customHeight="1">
      <x:c r="A6" s="104">
        <x:v>31</x:v>
      </x:c>
      <x:c r="B6" s="221" t="s">
        <x:v>62</x:v>
      </x:c>
      <x:c r="C6" s="222"/>
      <x:c r="D6" s="222"/>
      <x:c r="E6" s="222"/>
      <x:c r="F6" s="222"/>
      <x:c r="G6" s="222"/>
      <x:c r="H6" s="222"/>
      <x:c r="I6" s="222"/>
      <x:c r="J6" s="222"/>
      <x:c r="K6" s="222"/>
      <x:c r="L6" s="222"/>
      <x:c r="M6" s="222"/>
      <x:c r="N6" s="222"/>
      <x:c r="O6" s="222"/>
      <x:c r="P6" s="81"/>
      <x:c r="Q6" s="21"/>
      <x:c r="R6" s="25" t="s">
        <x:v>22</x:v>
      </x:c>
      <x:c r="S6" s="23"/>
      <x:c r="T6" s="22"/>
      <x:c r="U6" s="21"/>
    </x:row>
    <x:row r="7" ht="15.949999809265137" customHeight="1">
      <x:c r="A7" s="42"/>
      <x:c r="B7" s="26" t="s">
        <x:v>60</x:v>
      </x:c>
      <x:c r="C7" s="26" t="s">
        <x:v>9</x:v>
      </x:c>
      <x:c r="D7" s="28">
        <x:v>46140</x:v>
      </x:c>
      <x:c r="E7" s="28">
        <x:v>46141</x:v>
      </x:c>
      <x:c r="F7" s="84" t="n">
        <x:f>DAYS360(D7,E7)</x:f>
        <x:v>1</x:v>
      </x:c>
      <x:c r="G7" s="228" t="s">
        <x:v>63</x:v>
      </x:c>
      <x:c r="H7" s="229"/>
      <x:c r="I7" s="229"/>
      <x:c r="J7" s="229"/>
      <x:c r="K7" s="229"/>
      <x:c r="L7" s="229"/>
      <x:c r="M7" s="229"/>
      <x:c r="N7" s="117">
        <x:v>473550</x:v>
      </x:c>
      <x:c r="O7" s="85"/>
      <x:c r="P7" s="85"/>
      <x:c r="Q7" s="27"/>
      <x:c r="R7" s="25" t="s">
        <x:v>24</x:v>
      </x:c>
      <x:c r="S7" s="27"/>
      <x:c r="T7" s="27"/>
      <x:c r="U7" s="27"/>
    </x:row>
    <x:row r="8" ht="15.949999809265137" customHeight="1">
      <x:c r="A8" s="102"/>
      <x:c r="B8" s="82"/>
      <x:c r="C8" s="82"/>
      <x:c r="D8" s="83"/>
      <x:c r="E8" s="83"/>
      <x:c r="F8" s="84" t="e">
        <x:f t="shared" ref="F8:F11" si="0">DAYS360(D8,E8)</x:f>
      </x:c>
      <x:c r="G8" s="224"/>
      <x:c r="H8" s="225"/>
      <x:c r="I8" s="225"/>
      <x:c r="J8" s="225"/>
      <x:c r="K8" s="225"/>
      <x:c r="L8" s="225"/>
      <x:c r="M8" s="225"/>
      <x:c r="N8" s="117"/>
      <x:c r="O8" s="85"/>
      <x:c r="P8" s="85"/>
      <x:c r="Q8" s="30"/>
      <x:c r="R8" s="25"/>
      <x:c r="S8" s="30"/>
      <x:c r="T8" s="30"/>
      <x:c r="U8" s="30"/>
    </x:row>
    <x:row r="9" ht="15.949999809265137" customHeight="1">
      <x:c r="A9" s="102"/>
      <x:c r="B9" s="82"/>
      <x:c r="C9" s="82"/>
      <x:c r="D9" s="83"/>
      <x:c r="E9" s="83"/>
      <x:c r="F9" s="84">
        <x:f t="shared" si="0"/>
        <x:v>0</x:v>
      </x:c>
      <x:c r="G9" s="224"/>
      <x:c r="H9" s="225"/>
      <x:c r="I9" s="225"/>
      <x:c r="J9" s="225"/>
      <x:c r="K9" s="225"/>
      <x:c r="L9" s="225"/>
      <x:c r="M9" s="225"/>
      <x:c r="N9" s="117"/>
      <x:c r="O9" s="85"/>
      <x:c r="P9" s="85"/>
      <x:c r="Q9" s="30"/>
      <x:c r="R9" s="25"/>
      <x:c r="S9" s="30"/>
      <x:c r="T9" s="30"/>
      <x:c r="U9" s="30"/>
    </x:row>
    <x:row r="10" ht="15.949999809265137" customHeight="1">
      <x:c r="A10" s="103"/>
      <x:c r="B10" s="82"/>
      <x:c r="C10" s="82"/>
      <x:c r="D10" s="83"/>
      <x:c r="E10" s="93"/>
      <x:c r="F10" s="84">
        <x:f t="shared" si="0"/>
        <x:v>0</x:v>
      </x:c>
      <x:c r="G10" s="224"/>
      <x:c r="H10" s="225"/>
      <x:c r="I10" s="225"/>
      <x:c r="J10" s="225"/>
      <x:c r="K10" s="225"/>
      <x:c r="L10" s="225"/>
      <x:c r="M10" s="225"/>
      <x:c r="N10" s="117"/>
      <x:c r="O10" s="85"/>
      <x:c r="P10" s="85"/>
      <x:c r="Q10" s="30"/>
      <x:c r="R10" s="30"/>
      <x:c r="S10" s="30"/>
      <x:c r="T10" s="30"/>
      <x:c r="U10" s="30"/>
    </x:row>
    <x:row r="11" ht="15.949999809265137" customHeight="1">
      <x:c r="A11" s="103"/>
      <x:c r="B11" s="82"/>
      <x:c r="C11" s="82"/>
      <x:c r="D11" s="83"/>
      <x:c r="E11" s="93"/>
      <x:c r="F11" s="84">
        <x:f t="shared" si="0"/>
        <x:v>0</x:v>
      </x:c>
      <x:c r="G11" s="224"/>
      <x:c r="H11" s="225"/>
      <x:c r="I11" s="225"/>
      <x:c r="J11" s="225"/>
      <x:c r="K11" s="225"/>
      <x:c r="L11" s="225"/>
      <x:c r="M11" s="225"/>
      <x:c r="N11" s="117"/>
      <x:c r="O11" s="85"/>
      <x:c r="P11" s="85"/>
      <x:c r="Q11" s="30"/>
      <x:c r="R11" s="13" t="s">
        <x:v>25</x:v>
      </x:c>
      <x:c r="S11" s="30"/>
      <x:c r="T11" s="30"/>
      <x:c r="U11" s="30"/>
    </x:row>
    <x:row r="12" ht="21" customHeight="1">
      <x:c r="A12" s="103"/>
      <x:c r="B12" s="107"/>
      <x:c r="C12" s="107"/>
      <x:c r="D12" s="108"/>
      <x:c r="E12" s="108"/>
      <x:c r="F12" s="109"/>
      <x:c r="G12" s="107"/>
      <x:c r="H12" s="110"/>
      <x:c r="I12" s="110"/>
      <x:c r="J12" s="110"/>
      <x:c r="K12" s="110"/>
      <x:c r="L12" s="110"/>
      <x:c r="M12" s="110"/>
      <x:c r="N12" s="131" t="n">
        <x:f>SUM(N7:N11)</x:f>
        <x:v>473550</x:v>
      </x:c>
      <x:c r="O12" s="107"/>
      <x:c r="P12" s="111"/>
      <x:c r="Q12" s="112"/>
      <x:c r="R12" s="113"/>
      <x:c r="S12" s="112"/>
      <x:c r="T12" s="112"/>
      <x:c r="U12" s="112"/>
    </x:row>
    <x:row r="13" ht="21" customHeight="1">
      <x:c r="A13" s="75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49"/>
      <x:c r="Q13" s="30"/>
      <x:c r="R13" s="25" t="s">
        <x:v>26</x:v>
      </x:c>
      <x:c r="S13" s="30"/>
      <x:c r="T13" s="30"/>
      <x:c r="U13" s="30"/>
    </x:row>
    <x:row r="14" ht="27.75" customHeight="1">
      <x:c r="A14" s="104">
        <x:v>32</x:v>
      </x:c>
      <x:c r="B14" s="221" t="s">
        <x:v>64</x:v>
      </x:c>
      <x:c r="C14" s="222"/>
      <x:c r="D14" s="222"/>
      <x:c r="E14" s="222"/>
      <x:c r="F14" s="222"/>
      <x:c r="G14" s="222"/>
      <x:c r="H14" s="222"/>
      <x:c r="I14" s="222"/>
      <x:c r="J14" s="222"/>
      <x:c r="K14" s="222"/>
      <x:c r="L14" s="222"/>
      <x:c r="M14" s="222"/>
      <x:c r="N14" s="222"/>
      <x:c r="O14" s="222"/>
      <x:c r="P14" s="92"/>
      <x:c r="Q14" s="30"/>
      <x:c r="R14" s="25" t="s">
        <x:v>28</x:v>
      </x:c>
      <x:c r="S14" s="30"/>
      <x:c r="T14" s="30"/>
      <x:c r="U14" s="30"/>
    </x:row>
    <x:row r="15" ht="15.949999809265137" customHeight="1">
      <x:c r="A15" s="75"/>
      <x:c r="B15" s="26" t="s">
        <x:v>23</x:v>
      </x:c>
      <x:c r="C15" s="26" t="s">
        <x:v>9</x:v>
      </x:c>
      <x:c r="D15" s="28">
        <x:v>46140</x:v>
      </x:c>
      <x:c r="E15" s="28">
        <x:v>46141</x:v>
      </x:c>
      <x:c r="F15" s="84" t="n">
        <x:f>DAYS360(D15,E15)</x:f>
        <x:v>1</x:v>
      </x:c>
      <x:c r="G15" s="228"/>
      <x:c r="H15" s="229"/>
      <x:c r="I15" s="229"/>
      <x:c r="J15" s="229"/>
      <x:c r="K15" s="229"/>
      <x:c r="L15" s="229"/>
      <x:c r="M15" s="229"/>
      <x:c r="N15" s="117"/>
      <x:c r="O15" s="85"/>
      <x:c r="P15" s="85"/>
      <x:c r="Q15" s="37"/>
      <x:c r="R15" s="25"/>
      <x:c r="S15" s="37"/>
      <x:c r="T15" s="37"/>
      <x:c r="U15" s="37"/>
    </x:row>
    <x:row r="16" ht="15.949999809265137" customHeight="1">
      <x:c r="A16" s="75"/>
      <x:c r="B16" s="82"/>
      <x:c r="C16" s="82"/>
      <x:c r="D16" s="83"/>
      <x:c r="E16" s="83"/>
      <x:c r="F16" s="84" t="e">
        <x:f t="shared" ref="F16:F19" si="1">DAYS360(D16,E16)</x:f>
      </x:c>
      <x:c r="G16" s="224"/>
      <x:c r="H16" s="225"/>
      <x:c r="I16" s="225"/>
      <x:c r="J16" s="225"/>
      <x:c r="K16" s="225"/>
      <x:c r="L16" s="225"/>
      <x:c r="M16" s="225"/>
      <x:c r="N16" s="117"/>
      <x:c r="O16" s="85"/>
      <x:c r="P16" s="85"/>
      <x:c r="Q16" s="38"/>
      <x:c r="R16" s="38"/>
      <x:c r="S16" s="38"/>
      <x:c r="T16" s="38"/>
      <x:c r="U16" s="38"/>
    </x:row>
    <x:row r="17" ht="15.949999809265137" customHeight="1">
      <x:c r="A17" s="75"/>
      <x:c r="B17" s="82"/>
      <x:c r="C17" s="82"/>
      <x:c r="D17" s="83"/>
      <x:c r="E17" s="93"/>
      <x:c r="F17" s="84">
        <x:f t="shared" si="1"/>
        <x:v>0</x:v>
      </x:c>
      <x:c r="G17" s="224"/>
      <x:c r="H17" s="225"/>
      <x:c r="I17" s="225"/>
      <x:c r="J17" s="225"/>
      <x:c r="K17" s="225"/>
      <x:c r="L17" s="225"/>
      <x:c r="M17" s="225"/>
      <x:c r="N17" s="117"/>
      <x:c r="O17" s="85"/>
      <x:c r="P17" s="85"/>
      <x:c r="Q17" s="38"/>
      <x:c r="R17" s="38"/>
      <x:c r="S17" s="38"/>
      <x:c r="T17" s="38"/>
      <x:c r="U17" s="38"/>
    </x:row>
    <x:row r="18" ht="15.949999809265137" customHeight="1">
      <x:c r="A18" s="75"/>
      <x:c r="B18" s="82"/>
      <x:c r="C18" s="82"/>
      <x:c r="D18" s="83"/>
      <x:c r="E18" s="93"/>
      <x:c r="F18" s="84">
        <x:f t="shared" si="1"/>
        <x:v>0</x:v>
      </x:c>
      <x:c r="G18" s="224"/>
      <x:c r="H18" s="225"/>
      <x:c r="I18" s="225"/>
      <x:c r="J18" s="225"/>
      <x:c r="K18" s="225"/>
      <x:c r="L18" s="225"/>
      <x:c r="M18" s="225"/>
      <x:c r="N18" s="117"/>
      <x:c r="O18" s="85"/>
      <x:c r="P18" s="85"/>
      <x:c r="Q18" s="38"/>
      <x:c r="R18" s="38"/>
      <x:c r="S18" s="38"/>
      <x:c r="T18" s="38"/>
      <x:c r="U18" s="38"/>
    </x:row>
    <x:row r="19" ht="15.949999809265137" customHeight="1">
      <x:c r="A19" s="75"/>
      <x:c r="B19" s="82"/>
      <x:c r="C19" s="82"/>
      <x:c r="D19" s="83"/>
      <x:c r="E19" s="83"/>
      <x:c r="F19" s="84">
        <x:f t="shared" si="1"/>
        <x:v>0</x:v>
      </x:c>
      <x:c r="G19" s="224"/>
      <x:c r="H19" s="225"/>
      <x:c r="I19" s="225"/>
      <x:c r="J19" s="225"/>
      <x:c r="K19" s="225"/>
      <x:c r="L19" s="225"/>
      <x:c r="M19" s="225"/>
      <x:c r="N19" s="117"/>
      <x:c r="O19" s="85"/>
      <x:c r="P19" s="85"/>
      <x:c r="Q19" s="38"/>
      <x:c r="R19" s="38"/>
      <x:c r="S19" s="38"/>
      <x:c r="T19" s="38"/>
      <x:c r="U19" s="38"/>
    </x:row>
    <x:row r="20" ht="21" customHeight="1">
      <x:c r="A20" s="75"/>
      <x:c r="B20" s="43"/>
      <x:c r="C20" s="43"/>
      <x:c r="D20" s="44"/>
      <x:c r="E20" s="44"/>
      <x:c r="F20" s="36"/>
      <x:c r="G20" s="129"/>
      <x:c r="N20" s="131" t="n">
        <x:f>SUM(N15:N19)</x:f>
        <x:v>0</x:v>
      </x:c>
      <x:c r="O20" s="47"/>
      <x:c r="P20" s="47"/>
      <x:c r="Q20" s="38"/>
      <x:c r="R20" s="38"/>
      <x:c r="S20" s="38"/>
      <x:c r="T20" s="38"/>
      <x:c r="U20" s="38"/>
    </x:row>
    <x:row r="21" ht="21" customHeight="1">
      <x:c r="A21" s="75"/>
      <x:c r="B21" s="128"/>
      <x:c r="C21" s="128"/>
      <x:c r="D21" s="33"/>
      <x:c r="E21" s="33"/>
      <x:c r="F21" s="34"/>
      <x:c r="G21" s="226"/>
      <x:c r="H21" s="227"/>
      <x:c r="I21" s="227"/>
      <x:c r="J21" s="227"/>
      <x:c r="K21" s="227"/>
      <x:c r="L21" s="227"/>
      <x:c r="M21" s="227"/>
      <x:c r="N21" s="227"/>
      <x:c r="O21" s="128"/>
      <x:c r="P21" s="47"/>
      <x:c r="Q21" s="38"/>
      <x:c r="R21" s="38"/>
      <x:c r="S21" s="38"/>
      <x:c r="T21" s="38"/>
      <x:c r="U21" s="38"/>
    </x:row>
    <x:row r="22" ht="26.25">
      <x:c r="A22" s="105">
        <x:v>33</x:v>
      </x:c>
      <x:c r="B22" s="221" t="s">
        <x:v>65</x:v>
      </x:c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49"/>
      <x:c r="Q22" s="38"/>
      <x:c r="R22" s="38"/>
      <x:c r="S22" s="38"/>
      <x:c r="T22" s="38"/>
      <x:c r="U22" s="38"/>
    </x:row>
    <x:row r="23" ht="15.949999809265137" customHeight="1">
      <x:c r="A23" s="75"/>
      <x:c r="B23" s="26" t="s">
        <x:v>60</x:v>
      </x:c>
      <x:c r="C23" s="26" t="s">
        <x:v>9</x:v>
      </x:c>
      <x:c r="D23" s="28">
        <x:v>46136</x:v>
      </x:c>
      <x:c r="E23" s="28">
        <x:v>46150</x:v>
      </x:c>
      <x:c r="F23" s="84" t="n">
        <x:f>DAYS360(D23,E23)</x:f>
        <x:v>14</x:v>
      </x:c>
      <x:c r="G23" s="228"/>
      <x:c r="H23" s="229"/>
      <x:c r="I23" s="229"/>
      <x:c r="J23" s="229"/>
      <x:c r="K23" s="229"/>
      <x:c r="L23" s="229"/>
      <x:c r="M23" s="229"/>
      <x:c r="N23" s="117"/>
      <x:c r="O23" s="85"/>
      <x:c r="P23" s="85"/>
      <x:c r="Q23" s="38"/>
      <x:c r="R23" s="38"/>
      <x:c r="S23" s="38"/>
      <x:c r="T23" s="38"/>
      <x:c r="U23" s="38"/>
    </x:row>
    <x:row r="24" ht="15.949999809265137" customHeight="1">
      <x:c r="A24" s="75"/>
      <x:c r="B24" s="82"/>
      <x:c r="C24" s="82"/>
      <x:c r="D24" s="83"/>
      <x:c r="E24" s="83"/>
      <x:c r="F24" s="84" t="e">
        <x:f t="shared" ref="F24:F27" si="2">DAYS360(D24,E24)</x:f>
      </x:c>
      <x:c r="G24" s="224"/>
      <x:c r="H24" s="225"/>
      <x:c r="I24" s="225"/>
      <x:c r="J24" s="225"/>
      <x:c r="K24" s="225"/>
      <x:c r="L24" s="225"/>
      <x:c r="M24" s="225"/>
      <x:c r="N24" s="117"/>
      <x:c r="O24" s="85"/>
      <x:c r="P24" s="85"/>
      <x:c r="Q24" s="38"/>
      <x:c r="R24" s="38"/>
      <x:c r="S24" s="38"/>
      <x:c r="T24" s="38"/>
      <x:c r="U24" s="38"/>
    </x:row>
    <x:row r="25" ht="15.949999809265137" customHeight="1">
      <x:c r="A25" s="75"/>
      <x:c r="B25" s="82"/>
      <x:c r="C25" s="82"/>
      <x:c r="D25" s="83"/>
      <x:c r="E25" s="93"/>
      <x:c r="F25" s="84">
        <x:f t="shared" si="2"/>
        <x:v>0</x:v>
      </x:c>
      <x:c r="G25" s="224"/>
      <x:c r="H25" s="225"/>
      <x:c r="I25" s="225"/>
      <x:c r="J25" s="225"/>
      <x:c r="K25" s="225"/>
      <x:c r="L25" s="225"/>
      <x:c r="M25" s="225"/>
      <x:c r="N25" s="117"/>
      <x:c r="O25" s="85"/>
      <x:c r="P25" s="85"/>
      <x:c r="Q25" s="106"/>
      <x:c r="R25" s="106"/>
      <x:c r="S25" s="106"/>
      <x:c r="T25" s="106"/>
      <x:c r="U25" s="106"/>
    </x:row>
    <x:row r="26" ht="15.949999809265137" customHeight="1">
      <x:c r="A26" s="75"/>
      <x:c r="B26" s="82"/>
      <x:c r="C26" s="82"/>
      <x:c r="D26" s="83"/>
      <x:c r="E26" s="93"/>
      <x:c r="F26" s="84">
        <x:f t="shared" si="2"/>
        <x:v>0</x:v>
      </x:c>
      <x:c r="G26" s="224"/>
      <x:c r="H26" s="225"/>
      <x:c r="I26" s="225"/>
      <x:c r="J26" s="225"/>
      <x:c r="K26" s="225"/>
      <x:c r="L26" s="225"/>
      <x:c r="M26" s="225"/>
      <x:c r="N26" s="117"/>
      <x:c r="O26" s="85"/>
      <x:c r="P26" s="85"/>
      <x:c r="Q26" s="38"/>
      <x:c r="R26" s="38"/>
      <x:c r="S26" s="38"/>
      <x:c r="T26" s="38"/>
      <x:c r="U26" s="38"/>
    </x:row>
    <x:row r="27" ht="15.949999809265137" customHeight="1">
      <x:c r="A27" s="75"/>
      <x:c r="B27" s="82"/>
      <x:c r="C27" s="82"/>
      <x:c r="D27" s="83"/>
      <x:c r="E27" s="83"/>
      <x:c r="F27" s="84">
        <x:f t="shared" si="2"/>
        <x:v>0</x:v>
      </x:c>
      <x:c r="G27" s="224"/>
      <x:c r="H27" s="225"/>
      <x:c r="I27" s="225"/>
      <x:c r="J27" s="225"/>
      <x:c r="K27" s="225"/>
      <x:c r="L27" s="225"/>
      <x:c r="M27" s="225"/>
      <x:c r="N27" s="117"/>
      <x:c r="O27" s="85"/>
      <x:c r="P27" s="85"/>
      <x:c r="Q27" s="38"/>
      <x:c r="R27" s="38"/>
      <x:c r="S27" s="38"/>
      <x:c r="T27" s="38"/>
      <x:c r="U27" s="38"/>
    </x:row>
    <x:row r="28" ht="21" customHeight="1">
      <x:c r="N28" s="131" t="n">
        <x:f>SUM(N23:N27)</x:f>
        <x:v>0</x:v>
      </x:c>
      <x:c r="O28" s="36"/>
    </x:row>
    <x:row r="29" ht="21" customHeight="1">
      <x:c r="O29" s="36"/>
    </x:row>
    <x:row r="30" ht="26.100000381469727" customHeight="1">
      <x:c r="A30" s="105">
        <x:v>34</x:v>
      </x:c>
      <x:c r="B30" s="221" t="s">
        <x:v>66</x:v>
      </x:c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49"/>
    </x:row>
    <x:row r="31" ht="15.75" customHeight="1">
      <x:c r="A31" s="75"/>
      <x:c r="B31" s="26" t="s">
        <x:v>23</x:v>
      </x:c>
      <x:c r="C31" s="26" t="s">
        <x:v>20</x:v>
      </x:c>
      <x:c r="D31" s="28">
        <x:v>46136</x:v>
      </x:c>
      <x:c r="E31" s="28">
        <x:v>46150</x:v>
      </x:c>
      <x:c r="F31" s="84" t="n">
        <x:f>DAYS360(D31,E31)</x:f>
        <x:v>14</x:v>
      </x:c>
      <x:c r="G31" s="228" t="s">
        <x:v>67</x:v>
      </x:c>
      <x:c r="H31" s="229"/>
      <x:c r="I31" s="229"/>
      <x:c r="J31" s="229"/>
      <x:c r="K31" s="229"/>
      <x:c r="L31" s="229"/>
      <x:c r="M31" s="229"/>
      <x:c r="N31" s="117">
        <x:v>2300000</x:v>
      </x:c>
      <x:c r="O31" s="85"/>
      <x:c r="P31" s="85"/>
    </x:row>
    <x:row r="32" ht="15.75" customHeight="1">
      <x:c r="A32" s="75"/>
      <x:c r="B32" s="82"/>
      <x:c r="C32" s="82"/>
      <x:c r="D32" s="83"/>
      <x:c r="E32" s="83"/>
      <x:c r="F32" s="84" t="e">
        <x:f t="shared" ref="F32:F35" si="3">DAYS360(D32,E32)</x:f>
      </x:c>
      <x:c r="G32" s="224"/>
      <x:c r="H32" s="225"/>
      <x:c r="I32" s="225"/>
      <x:c r="J32" s="225"/>
      <x:c r="K32" s="225"/>
      <x:c r="L32" s="225"/>
      <x:c r="M32" s="225"/>
      <x:c r="N32" s="117"/>
      <x:c r="O32" s="85"/>
      <x:c r="P32" s="85"/>
    </x:row>
    <x:row r="33" ht="15.75" customHeight="1">
      <x:c r="A33" s="75"/>
      <x:c r="B33" s="82"/>
      <x:c r="C33" s="82"/>
      <x:c r="D33" s="83"/>
      <x:c r="E33" s="93"/>
      <x:c r="F33" s="84">
        <x:f t="shared" si="3"/>
        <x:v>0</x:v>
      </x:c>
      <x:c r="G33" s="224"/>
      <x:c r="H33" s="225"/>
      <x:c r="I33" s="225"/>
      <x:c r="J33" s="225"/>
      <x:c r="K33" s="225"/>
      <x:c r="L33" s="225"/>
      <x:c r="M33" s="225"/>
      <x:c r="N33" s="117"/>
      <x:c r="O33" s="85"/>
      <x:c r="P33" s="85"/>
    </x:row>
    <x:row r="34" ht="15.75" customHeight="1">
      <x:c r="A34" s="75"/>
      <x:c r="B34" s="82"/>
      <x:c r="C34" s="82"/>
      <x:c r="D34" s="83"/>
      <x:c r="E34" s="93"/>
      <x:c r="F34" s="84">
        <x:f t="shared" si="3"/>
        <x:v>0</x:v>
      </x:c>
      <x:c r="G34" s="224"/>
      <x:c r="H34" s="225"/>
      <x:c r="I34" s="225"/>
      <x:c r="J34" s="225"/>
      <x:c r="K34" s="225"/>
      <x:c r="L34" s="225"/>
      <x:c r="M34" s="225"/>
      <x:c r="N34" s="117"/>
      <x:c r="O34" s="85"/>
      <x:c r="P34" s="85"/>
    </x:row>
    <x:row r="35" ht="15.75" customHeight="1">
      <x:c r="A35" s="75"/>
      <x:c r="B35" s="82"/>
      <x:c r="C35" s="82"/>
      <x:c r="D35" s="83"/>
      <x:c r="E35" s="83"/>
      <x:c r="F35" s="84">
        <x:f t="shared" si="3"/>
        <x:v>0</x:v>
      </x:c>
      <x:c r="G35" s="224"/>
      <x:c r="H35" s="225"/>
      <x:c r="I35" s="225"/>
      <x:c r="J35" s="225"/>
      <x:c r="K35" s="225"/>
      <x:c r="L35" s="225"/>
      <x:c r="M35" s="225"/>
      <x:c r="N35" s="117"/>
      <x:c r="O35" s="85"/>
      <x:c r="P35" s="85"/>
    </x:row>
    <x:row r="36" ht="15.75" customHeight="1">
      <x:c r="N36" s="131" t="n">
        <x:f>SUM(N31:N35)</x:f>
        <x:v>2300000</x:v>
      </x:c>
      <x:c r="O36" s="36"/>
    </x:row>
    <x:row r="37" ht="15.75" customHeight="1">
      <x:c r="O37" s="36"/>
    </x:row>
    <x:row r="38" ht="26.100000381469727" customHeight="1">
      <x:c r="A38" s="105">
        <x:v>35</x:v>
      </x:c>
      <x:c r="B38" s="221" t="s">
        <x:v>68</x:v>
      </x:c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49"/>
    </x:row>
    <x:row r="39" ht="15.75" customHeight="1">
      <x:c r="A39" s="75"/>
      <x:c r="B39" s="26" t="s">
        <x:v>23</x:v>
      </x:c>
      <x:c r="C39" s="26" t="s">
        <x:v>20</x:v>
      </x:c>
      <x:c r="D39" s="28">
        <x:v>46140</x:v>
      </x:c>
      <x:c r="E39" s="28">
        <x:v>46141</x:v>
      </x:c>
      <x:c r="F39" s="84" t="n">
        <x:f>DAYS360(D39,E39)</x:f>
        <x:v>1</x:v>
      </x:c>
      <x:c r="G39" s="224"/>
      <x:c r="H39" s="225"/>
      <x:c r="I39" s="225"/>
      <x:c r="J39" s="225"/>
      <x:c r="K39" s="225"/>
      <x:c r="L39" s="225"/>
      <x:c r="M39" s="225"/>
      <x:c r="N39" s="117"/>
      <x:c r="O39" s="85"/>
      <x:c r="P39" s="85"/>
    </x:row>
    <x:row r="40" ht="15.75" customHeight="1">
      <x:c r="A40" s="75"/>
      <x:c r="B40" s="82"/>
      <x:c r="C40" s="82"/>
      <x:c r="D40" s="83"/>
      <x:c r="E40" s="83"/>
      <x:c r="F40" s="84" t="e">
        <x:f t="shared" ref="F40:F43" si="4">DAYS360(D40,E40)</x:f>
      </x:c>
      <x:c r="G40" s="224"/>
      <x:c r="H40" s="225"/>
      <x:c r="I40" s="225"/>
      <x:c r="J40" s="225"/>
      <x:c r="K40" s="225"/>
      <x:c r="L40" s="225"/>
      <x:c r="M40" s="225"/>
      <x:c r="N40" s="117"/>
      <x:c r="O40" s="85"/>
      <x:c r="P40" s="85"/>
    </x:row>
    <x:row r="41" ht="15.75" customHeight="1">
      <x:c r="A41" s="75"/>
      <x:c r="B41" s="82"/>
      <x:c r="C41" s="82"/>
      <x:c r="D41" s="83"/>
      <x:c r="E41" s="93"/>
      <x:c r="F41" s="84">
        <x:f t="shared" si="4"/>
        <x:v>0</x:v>
      </x:c>
      <x:c r="G41" s="224"/>
      <x:c r="H41" s="225"/>
      <x:c r="I41" s="225"/>
      <x:c r="J41" s="225"/>
      <x:c r="K41" s="225"/>
      <x:c r="L41" s="225"/>
      <x:c r="M41" s="225"/>
      <x:c r="N41" s="117"/>
      <x:c r="O41" s="85"/>
      <x:c r="P41" s="85"/>
    </x:row>
    <x:row r="42" ht="15.75" customHeight="1">
      <x:c r="A42" s="75"/>
      <x:c r="B42" s="82"/>
      <x:c r="C42" s="82"/>
      <x:c r="D42" s="83"/>
      <x:c r="E42" s="93"/>
      <x:c r="F42" s="84">
        <x:f t="shared" si="4"/>
        <x:v>0</x:v>
      </x:c>
      <x:c r="G42" s="224"/>
      <x:c r="H42" s="225"/>
      <x:c r="I42" s="225"/>
      <x:c r="J42" s="225"/>
      <x:c r="K42" s="225"/>
      <x:c r="L42" s="225"/>
      <x:c r="M42" s="225"/>
      <x:c r="N42" s="117"/>
      <x:c r="O42" s="85"/>
      <x:c r="P42" s="85"/>
    </x:row>
    <x:row r="43" ht="15.75" customHeight="1">
      <x:c r="A43" s="75"/>
      <x:c r="B43" s="82"/>
      <x:c r="C43" s="82"/>
      <x:c r="D43" s="83"/>
      <x:c r="E43" s="83"/>
      <x:c r="F43" s="84">
        <x:f t="shared" si="4"/>
        <x:v>0</x:v>
      </x:c>
      <x:c r="G43" s="224"/>
      <x:c r="H43" s="225"/>
      <x:c r="I43" s="225"/>
      <x:c r="J43" s="225"/>
      <x:c r="K43" s="225"/>
      <x:c r="L43" s="225"/>
      <x:c r="M43" s="225"/>
      <x:c r="N43" s="117"/>
      <x:c r="O43" s="85"/>
      <x:c r="P43" s="85"/>
    </x:row>
    <x:row r="44" ht="15.75" customHeight="1">
      <x:c r="N44" s="131" t="n">
        <x:f>SUM(N39:N43)</x:f>
        <x:v>0</x:v>
      </x:c>
      <x:c r="O44" s="36"/>
    </x:row>
    <x:row r="45" ht="15.75" customHeight="1">
      <x:c r="O45" s="36"/>
    </x:row>
    <x:row r="46" ht="26.100000381469727" customHeight="1">
      <x:c r="A46" s="105">
        <x:v>36</x:v>
      </x:c>
      <x:c r="B46" s="221" t="s">
        <x:v>69</x:v>
      </x:c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49"/>
    </x:row>
    <x:row r="47" ht="15.75" customHeight="1">
      <x:c r="A47" s="75"/>
      <x:c r="B47" s="26" t="s">
        <x:v>23</x:v>
      </x:c>
      <x:c r="C47" s="26" t="s">
        <x:v>20</x:v>
      </x:c>
      <x:c r="D47" s="28">
        <x:v>46140</x:v>
      </x:c>
      <x:c r="E47" s="28">
        <x:v>46141</x:v>
      </x:c>
      <x:c r="F47" s="84" t="n">
        <x:f>DAYS360(D47,E47)</x:f>
        <x:v>1</x:v>
      </x:c>
      <x:c r="G47" s="224"/>
      <x:c r="H47" s="225"/>
      <x:c r="I47" s="225"/>
      <x:c r="J47" s="225"/>
      <x:c r="K47" s="225"/>
      <x:c r="L47" s="225"/>
      <x:c r="M47" s="225"/>
      <x:c r="N47" s="117"/>
      <x:c r="O47" s="85"/>
      <x:c r="P47" s="85"/>
    </x:row>
    <x:row r="48" ht="15.75" customHeight="1">
      <x:c r="A48" s="75"/>
      <x:c r="B48" s="82"/>
      <x:c r="C48" s="82"/>
      <x:c r="D48" s="83"/>
      <x:c r="E48" s="83"/>
      <x:c r="F48" s="84" t="e">
        <x:f t="shared" ref="F48:F51" si="5">DAYS360(D48,E48)</x:f>
      </x:c>
      <x:c r="G48" s="224"/>
      <x:c r="H48" s="225"/>
      <x:c r="I48" s="225"/>
      <x:c r="J48" s="225"/>
      <x:c r="K48" s="225"/>
      <x:c r="L48" s="225"/>
      <x:c r="M48" s="225"/>
      <x:c r="N48" s="117"/>
      <x:c r="O48" s="85"/>
      <x:c r="P48" s="85"/>
    </x:row>
    <x:row r="49" ht="15.75" customHeight="1">
      <x:c r="A49" s="75"/>
      <x:c r="B49" s="82"/>
      <x:c r="C49" s="82"/>
      <x:c r="D49" s="83"/>
      <x:c r="E49" s="93"/>
      <x:c r="F49" s="84">
        <x:f t="shared" si="5"/>
        <x:v>0</x:v>
      </x:c>
      <x:c r="G49" s="224"/>
      <x:c r="H49" s="225"/>
      <x:c r="I49" s="225"/>
      <x:c r="J49" s="225"/>
      <x:c r="K49" s="225"/>
      <x:c r="L49" s="225"/>
      <x:c r="M49" s="225"/>
      <x:c r="N49" s="117"/>
      <x:c r="O49" s="85"/>
      <x:c r="P49" s="85"/>
    </x:row>
    <x:row r="50" ht="15.75" customHeight="1">
      <x:c r="A50" s="75"/>
      <x:c r="B50" s="82"/>
      <x:c r="C50" s="82"/>
      <x:c r="D50" s="83"/>
      <x:c r="E50" s="93"/>
      <x:c r="F50" s="84">
        <x:f t="shared" si="5"/>
        <x:v>0</x:v>
      </x:c>
      <x:c r="G50" s="224"/>
      <x:c r="H50" s="225"/>
      <x:c r="I50" s="225"/>
      <x:c r="J50" s="225"/>
      <x:c r="K50" s="225"/>
      <x:c r="L50" s="225"/>
      <x:c r="M50" s="225"/>
      <x:c r="N50" s="117"/>
      <x:c r="O50" s="85"/>
      <x:c r="P50" s="85"/>
    </x:row>
    <x:row r="51" ht="15.75" customHeight="1">
      <x:c r="A51" s="75"/>
      <x:c r="B51" s="82"/>
      <x:c r="C51" s="82"/>
      <x:c r="D51" s="83"/>
      <x:c r="E51" s="83"/>
      <x:c r="F51" s="84">
        <x:f t="shared" si="5"/>
        <x:v>0</x:v>
      </x:c>
      <x:c r="G51" s="224"/>
      <x:c r="H51" s="225"/>
      <x:c r="I51" s="225"/>
      <x:c r="J51" s="225"/>
      <x:c r="K51" s="225"/>
      <x:c r="L51" s="225"/>
      <x:c r="M51" s="225"/>
      <x:c r="N51" s="117"/>
      <x:c r="O51" s="85"/>
      <x:c r="P51" s="85"/>
    </x:row>
    <x:row r="52" ht="15.75" customHeight="1">
      <x:c r="N52" s="131" t="n">
        <x:f>SUM(N47:N51)</x:f>
        <x:v>0</x:v>
      </x:c>
      <x:c r="O52" s="36"/>
    </x:row>
    <x:row r="53" ht="15.75" customHeight="1">
      <x:c r="O53" s="36"/>
    </x:row>
    <x:row r="54" ht="26.100000381469727" customHeight="1">
      <x:c r="A54" s="105">
        <x:v>37</x:v>
      </x:c>
      <x:c r="B54" s="221" t="s">
        <x:v>70</x:v>
      </x:c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49"/>
    </x:row>
    <x:row r="55" ht="15.75" customHeight="1">
      <x:c r="A55" s="75"/>
      <x:c r="B55" s="26" t="s">
        <x:v>23</x:v>
      </x:c>
      <x:c r="C55" s="26" t="s">
        <x:v>20</x:v>
      </x:c>
      <x:c r="D55" s="28">
        <x:v>46140</x:v>
      </x:c>
      <x:c r="E55" s="28">
        <x:v>46141</x:v>
      </x:c>
      <x:c r="F55" s="84" t="n">
        <x:f>DAYS360(D55,E55)</x:f>
        <x:v>1</x:v>
      </x:c>
      <x:c r="G55" s="224"/>
      <x:c r="H55" s="225"/>
      <x:c r="I55" s="225"/>
      <x:c r="J55" s="225"/>
      <x:c r="K55" s="225"/>
      <x:c r="L55" s="225"/>
      <x:c r="M55" s="225"/>
      <x:c r="N55" s="117"/>
      <x:c r="O55" s="85"/>
      <x:c r="P55" s="85"/>
    </x:row>
    <x:row r="56" ht="15.75" customHeight="1">
      <x:c r="A56" s="75"/>
      <x:c r="B56" s="82"/>
      <x:c r="C56" s="82"/>
      <x:c r="D56" s="83"/>
      <x:c r="E56" s="83"/>
      <x:c r="F56" s="84" t="e">
        <x:f t="shared" ref="F56:F59" si="6">DAYS360(D56,E56)</x:f>
      </x:c>
      <x:c r="G56" s="224"/>
      <x:c r="H56" s="225"/>
      <x:c r="I56" s="225"/>
      <x:c r="J56" s="225"/>
      <x:c r="K56" s="225"/>
      <x:c r="L56" s="225"/>
      <x:c r="M56" s="225"/>
      <x:c r="N56" s="117"/>
      <x:c r="O56" s="85"/>
      <x:c r="P56" s="85"/>
    </x:row>
    <x:row r="57" ht="15.75" customHeight="1">
      <x:c r="A57" s="75"/>
      <x:c r="B57" s="82"/>
      <x:c r="C57" s="82"/>
      <x:c r="D57" s="83"/>
      <x:c r="E57" s="93"/>
      <x:c r="F57" s="84">
        <x:f t="shared" si="6"/>
        <x:v>0</x:v>
      </x:c>
      <x:c r="G57" s="224"/>
      <x:c r="H57" s="225"/>
      <x:c r="I57" s="225"/>
      <x:c r="J57" s="225"/>
      <x:c r="K57" s="225"/>
      <x:c r="L57" s="225"/>
      <x:c r="M57" s="225"/>
      <x:c r="N57" s="117"/>
      <x:c r="O57" s="85"/>
      <x:c r="P57" s="85"/>
    </x:row>
    <x:row r="58" ht="15.75" customHeight="1">
      <x:c r="A58" s="75"/>
      <x:c r="B58" s="82"/>
      <x:c r="C58" s="82"/>
      <x:c r="D58" s="83"/>
      <x:c r="E58" s="93"/>
      <x:c r="F58" s="84">
        <x:f t="shared" si="6"/>
        <x:v>0</x:v>
      </x:c>
      <x:c r="G58" s="224"/>
      <x:c r="H58" s="225"/>
      <x:c r="I58" s="225"/>
      <x:c r="J58" s="225"/>
      <x:c r="K58" s="225"/>
      <x:c r="L58" s="225"/>
      <x:c r="M58" s="225"/>
      <x:c r="N58" s="117"/>
      <x:c r="O58" s="85"/>
      <x:c r="P58" s="85"/>
    </x:row>
    <x:row r="59" ht="15.75" customHeight="1">
      <x:c r="A59" s="75"/>
      <x:c r="B59" s="82"/>
      <x:c r="C59" s="82"/>
      <x:c r="D59" s="83"/>
      <x:c r="E59" s="83"/>
      <x:c r="F59" s="84">
        <x:f t="shared" si="6"/>
        <x:v>0</x:v>
      </x:c>
      <x:c r="G59" s="224"/>
      <x:c r="H59" s="225"/>
      <x:c r="I59" s="225"/>
      <x:c r="J59" s="225"/>
      <x:c r="K59" s="225"/>
      <x:c r="L59" s="225"/>
      <x:c r="M59" s="225"/>
      <x:c r="N59" s="117"/>
      <x:c r="O59" s="85"/>
      <x:c r="P59" s="85"/>
    </x:row>
    <x:row r="60" ht="15.75" customHeight="1">
      <x:c r="N60" s="131" t="n">
        <x:f>SUM(N55:N59)</x:f>
        <x:v>0</x:v>
      </x:c>
      <x:c r="O60" s="36"/>
    </x:row>
    <x:row r="61" ht="15.75" customHeight="1">
      <x:c r="O61" s="36"/>
    </x:row>
    <x:row r="62" ht="26.100000381469727" customHeight="1">
      <x:c r="A62" s="105">
        <x:v>38</x:v>
      </x:c>
      <x:c r="B62" s="221" t="s">
        <x:v>71</x:v>
      </x:c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  <x:c r="P62" s="49"/>
    </x:row>
    <x:row r="63" ht="15.75" customHeight="1">
      <x:c r="A63" s="75"/>
      <x:c r="B63" s="26" t="s">
        <x:v>23</x:v>
      </x:c>
      <x:c r="C63" s="26" t="s">
        <x:v>20</x:v>
      </x:c>
      <x:c r="D63" s="28">
        <x:v>46140</x:v>
      </x:c>
      <x:c r="E63" s="28">
        <x:v>46141</x:v>
      </x:c>
      <x:c r="F63" s="84" t="n">
        <x:f>DAYS360(D63,E63)</x:f>
        <x:v>1</x:v>
      </x:c>
      <x:c r="G63" s="224"/>
      <x:c r="H63" s="225"/>
      <x:c r="I63" s="225"/>
      <x:c r="J63" s="225"/>
      <x:c r="K63" s="225"/>
      <x:c r="L63" s="225"/>
      <x:c r="M63" s="225"/>
      <x:c r="N63" s="117"/>
      <x:c r="O63" s="85"/>
      <x:c r="P63" s="85"/>
    </x:row>
    <x:row r="64" ht="15.75" customHeight="1">
      <x:c r="A64" s="75"/>
      <x:c r="B64" s="82"/>
      <x:c r="C64" s="82"/>
      <x:c r="D64" s="83"/>
      <x:c r="E64" s="83"/>
      <x:c r="F64" s="84" t="e">
        <x:f t="shared" ref="F64:F67" si="7">DAYS360(D64,E64)</x:f>
      </x:c>
      <x:c r="G64" s="224"/>
      <x:c r="H64" s="225"/>
      <x:c r="I64" s="225"/>
      <x:c r="J64" s="225"/>
      <x:c r="K64" s="225"/>
      <x:c r="L64" s="225"/>
      <x:c r="M64" s="225"/>
      <x:c r="N64" s="117"/>
      <x:c r="O64" s="85"/>
      <x:c r="P64" s="85"/>
    </x:row>
    <x:row r="65" ht="15.75" customHeight="1">
      <x:c r="A65" s="75"/>
      <x:c r="B65" s="82"/>
      <x:c r="C65" s="82"/>
      <x:c r="D65" s="83"/>
      <x:c r="E65" s="93"/>
      <x:c r="F65" s="84">
        <x:f t="shared" si="7"/>
        <x:v>0</x:v>
      </x:c>
      <x:c r="G65" s="224"/>
      <x:c r="H65" s="225"/>
      <x:c r="I65" s="225"/>
      <x:c r="J65" s="225"/>
      <x:c r="K65" s="225"/>
      <x:c r="L65" s="225"/>
      <x:c r="M65" s="225"/>
      <x:c r="N65" s="117"/>
      <x:c r="O65" s="85"/>
      <x:c r="P65" s="85"/>
    </x:row>
    <x:row r="66" ht="15.75" customHeight="1">
      <x:c r="A66" s="75"/>
      <x:c r="B66" s="82"/>
      <x:c r="C66" s="82"/>
      <x:c r="D66" s="83"/>
      <x:c r="E66" s="93"/>
      <x:c r="F66" s="84">
        <x:f t="shared" si="7"/>
        <x:v>0</x:v>
      </x:c>
      <x:c r="G66" s="224"/>
      <x:c r="H66" s="225"/>
      <x:c r="I66" s="225"/>
      <x:c r="J66" s="225"/>
      <x:c r="K66" s="225"/>
      <x:c r="L66" s="225"/>
      <x:c r="M66" s="225"/>
      <x:c r="N66" s="117"/>
      <x:c r="O66" s="85"/>
      <x:c r="P66" s="85"/>
    </x:row>
    <x:row r="67" ht="15.75" customHeight="1">
      <x:c r="A67" s="75"/>
      <x:c r="B67" s="82"/>
      <x:c r="C67" s="82"/>
      <x:c r="D67" s="83"/>
      <x:c r="E67" s="83"/>
      <x:c r="F67" s="84">
        <x:f t="shared" si="7"/>
        <x:v>0</x:v>
      </x:c>
      <x:c r="G67" s="224"/>
      <x:c r="H67" s="225"/>
      <x:c r="I67" s="225"/>
      <x:c r="J67" s="225"/>
      <x:c r="K67" s="225"/>
      <x:c r="L67" s="225"/>
      <x:c r="M67" s="225"/>
      <x:c r="N67" s="117"/>
      <x:c r="O67" s="85"/>
      <x:c r="P67" s="85"/>
    </x:row>
    <x:row r="68" ht="15.75" customHeight="1">
      <x:c r="N68" s="131" t="n">
        <x:f>SUM(N63:N67)</x:f>
        <x:v>0</x:v>
      </x:c>
      <x:c r="O68" s="36"/>
    </x:row>
    <x:row r="69" ht="15.75" customHeight="1">
      <x:c r="O69" s="36"/>
    </x:row>
    <x:row r="70" ht="26.100000381469727" customHeight="1">
      <x:c r="A70" s="105">
        <x:v>39</x:v>
      </x:c>
      <x:c r="B70" s="221" t="s">
        <x:v>72</x:v>
      </x:c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49"/>
    </x:row>
    <x:row r="71" ht="15.75" customHeight="1">
      <x:c r="A71" s="75"/>
      <x:c r="B71" s="26" t="s">
        <x:v>23</x:v>
      </x:c>
      <x:c r="C71" s="26" t="s">
        <x:v>20</x:v>
      </x:c>
      <x:c r="D71" s="28">
        <x:v>46140</x:v>
      </x:c>
      <x:c r="E71" s="28">
        <x:v>46141</x:v>
      </x:c>
      <x:c r="F71" s="84" t="n">
        <x:f>DAYS360(D71,E71)</x:f>
        <x:v>1</x:v>
      </x:c>
      <x:c r="G71" s="224"/>
      <x:c r="H71" s="225"/>
      <x:c r="I71" s="225"/>
      <x:c r="J71" s="225"/>
      <x:c r="K71" s="225"/>
      <x:c r="L71" s="225"/>
      <x:c r="M71" s="225"/>
      <x:c r="N71" s="117"/>
      <x:c r="O71" s="85"/>
      <x:c r="P71" s="85"/>
    </x:row>
    <x:row r="72" ht="15.75" customHeight="1">
      <x:c r="A72" s="75"/>
      <x:c r="B72" s="82"/>
      <x:c r="C72" s="82"/>
      <x:c r="D72" s="83"/>
      <x:c r="E72" s="83"/>
      <x:c r="F72" s="84" t="e">
        <x:f t="shared" ref="F72:F75" si="8">DAYS360(D72,E72)</x:f>
      </x:c>
      <x:c r="G72" s="224"/>
      <x:c r="H72" s="225"/>
      <x:c r="I72" s="225"/>
      <x:c r="J72" s="225"/>
      <x:c r="K72" s="225"/>
      <x:c r="L72" s="225"/>
      <x:c r="M72" s="225"/>
      <x:c r="N72" s="117"/>
      <x:c r="O72" s="85"/>
      <x:c r="P72" s="85"/>
    </x:row>
    <x:row r="73" ht="15.75" customHeight="1">
      <x:c r="A73" s="75"/>
      <x:c r="B73" s="82"/>
      <x:c r="C73" s="82"/>
      <x:c r="D73" s="83"/>
      <x:c r="E73" s="93"/>
      <x:c r="F73" s="84">
        <x:f t="shared" si="8"/>
        <x:v>0</x:v>
      </x:c>
      <x:c r="G73" s="224"/>
      <x:c r="H73" s="225"/>
      <x:c r="I73" s="225"/>
      <x:c r="J73" s="225"/>
      <x:c r="K73" s="225"/>
      <x:c r="L73" s="225"/>
      <x:c r="M73" s="225"/>
      <x:c r="N73" s="117"/>
      <x:c r="O73" s="85"/>
      <x:c r="P73" s="85"/>
    </x:row>
    <x:row r="74" ht="15.75" customHeight="1">
      <x:c r="A74" s="75"/>
      <x:c r="B74" s="82"/>
      <x:c r="C74" s="82"/>
      <x:c r="D74" s="83"/>
      <x:c r="E74" s="93"/>
      <x:c r="F74" s="84">
        <x:f t="shared" si="8"/>
        <x:v>0</x:v>
      </x:c>
      <x:c r="G74" s="224"/>
      <x:c r="H74" s="225"/>
      <x:c r="I74" s="225"/>
      <x:c r="J74" s="225"/>
      <x:c r="K74" s="225"/>
      <x:c r="L74" s="225"/>
      <x:c r="M74" s="225"/>
      <x:c r="N74" s="117"/>
      <x:c r="O74" s="85"/>
      <x:c r="P74" s="85"/>
    </x:row>
    <x:row r="75" ht="15.75" customHeight="1">
      <x:c r="A75" s="75"/>
      <x:c r="B75" s="82"/>
      <x:c r="C75" s="82"/>
      <x:c r="D75" s="83"/>
      <x:c r="E75" s="83"/>
      <x:c r="F75" s="84">
        <x:f t="shared" si="8"/>
        <x:v>0</x:v>
      </x:c>
      <x:c r="G75" s="224"/>
      <x:c r="H75" s="225"/>
      <x:c r="I75" s="225"/>
      <x:c r="J75" s="225"/>
      <x:c r="K75" s="225"/>
      <x:c r="L75" s="225"/>
      <x:c r="M75" s="225"/>
      <x:c r="N75" s="117"/>
      <x:c r="O75" s="85"/>
      <x:c r="P75" s="85"/>
    </x:row>
    <x:row r="76" ht="15.75" customHeight="1">
      <x:c r="N76" s="131" t="n">
        <x:f>SUM(N71:N75)</x:f>
        <x:v>0</x:v>
      </x:c>
      <x:c r="O76" s="36"/>
    </x:row>
    <x:row r="77" ht="15.75" customHeight="1">
      <x:c r="O77" s="36"/>
    </x:row>
    <x:row r="78" ht="26.100000381469727" customHeight="1">
      <x:c r="A78" s="105">
        <x:v>40</x:v>
      </x:c>
      <x:c r="B78" s="221" t="s">
        <x:v>73</x:v>
      </x:c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49"/>
    </x:row>
    <x:row r="79" ht="15.75" customHeight="1">
      <x:c r="A79" s="75"/>
      <x:c r="B79" s="26" t="s">
        <x:v>23</x:v>
      </x:c>
      <x:c r="C79" s="26" t="s">
        <x:v>20</x:v>
      </x:c>
      <x:c r="D79" s="28">
        <x:v>46140</x:v>
      </x:c>
      <x:c r="E79" s="28">
        <x:v>46141</x:v>
      </x:c>
      <x:c r="F79" s="84" t="n">
        <x:f>DAYS360(D79,E79)</x:f>
        <x:v>1</x:v>
      </x:c>
      <x:c r="G79" s="224"/>
      <x:c r="H79" s="225"/>
      <x:c r="I79" s="225"/>
      <x:c r="J79" s="225"/>
      <x:c r="K79" s="225"/>
      <x:c r="L79" s="225"/>
      <x:c r="M79" s="225"/>
      <x:c r="N79" s="117"/>
      <x:c r="O79" s="85"/>
      <x:c r="P79" s="85"/>
    </x:row>
    <x:row r="80" ht="15.75" customHeight="1">
      <x:c r="A80" s="75"/>
      <x:c r="B80" s="82"/>
      <x:c r="C80" s="82"/>
      <x:c r="D80" s="83"/>
      <x:c r="E80" s="83"/>
      <x:c r="F80" s="84" t="e">
        <x:f t="shared" ref="F80:F83" si="9">DAYS360(D80,E80)</x:f>
      </x:c>
      <x:c r="G80" s="224"/>
      <x:c r="H80" s="225"/>
      <x:c r="I80" s="225"/>
      <x:c r="J80" s="225"/>
      <x:c r="K80" s="225"/>
      <x:c r="L80" s="225"/>
      <x:c r="M80" s="225"/>
      <x:c r="N80" s="117"/>
      <x:c r="O80" s="85"/>
      <x:c r="P80" s="85"/>
    </x:row>
    <x:row r="81" ht="15.75" customHeight="1">
      <x:c r="A81" s="75"/>
      <x:c r="B81" s="82"/>
      <x:c r="C81" s="82"/>
      <x:c r="D81" s="83"/>
      <x:c r="E81" s="93"/>
      <x:c r="F81" s="84">
        <x:f t="shared" si="9"/>
        <x:v>0</x:v>
      </x:c>
      <x:c r="G81" s="224"/>
      <x:c r="H81" s="225"/>
      <x:c r="I81" s="225"/>
      <x:c r="J81" s="225"/>
      <x:c r="K81" s="225"/>
      <x:c r="L81" s="225"/>
      <x:c r="M81" s="225"/>
      <x:c r="N81" s="117"/>
      <x:c r="O81" s="85"/>
      <x:c r="P81" s="85"/>
    </x:row>
    <x:row r="82" ht="15.75" customHeight="1">
      <x:c r="A82" s="75"/>
      <x:c r="B82" s="82"/>
      <x:c r="C82" s="82"/>
      <x:c r="D82" s="83"/>
      <x:c r="E82" s="93"/>
      <x:c r="F82" s="84">
        <x:f t="shared" si="9"/>
        <x:v>0</x:v>
      </x:c>
      <x:c r="G82" s="224"/>
      <x:c r="H82" s="225"/>
      <x:c r="I82" s="225"/>
      <x:c r="J82" s="225"/>
      <x:c r="K82" s="225"/>
      <x:c r="L82" s="225"/>
      <x:c r="M82" s="225"/>
      <x:c r="N82" s="117"/>
      <x:c r="O82" s="85"/>
      <x:c r="P82" s="85"/>
    </x:row>
    <x:row r="83" ht="15.75" customHeight="1">
      <x:c r="A83" s="75"/>
      <x:c r="B83" s="82"/>
      <x:c r="C83" s="82"/>
      <x:c r="D83" s="83"/>
      <x:c r="E83" s="83"/>
      <x:c r="F83" s="84">
        <x:f t="shared" si="9"/>
        <x:v>0</x:v>
      </x:c>
      <x:c r="G83" s="224"/>
      <x:c r="H83" s="225"/>
      <x:c r="I83" s="225"/>
      <x:c r="J83" s="225"/>
      <x:c r="K83" s="225"/>
      <x:c r="L83" s="225"/>
      <x:c r="M83" s="225"/>
      <x:c r="N83" s="117"/>
      <x:c r="O83" s="85"/>
      <x:c r="P83" s="85"/>
    </x:row>
    <x:row r="84" ht="15.75" customHeight="1">
      <x:c r="N84" s="131" t="n">
        <x:f>SUM(N79:N83)</x:f>
        <x:v>0</x:v>
      </x:c>
      <x:c r="O84" s="36"/>
    </x:row>
    <x:row r="85" ht="15.75" customHeight="1">
      <x:c r="O85" s="36"/>
    </x:row>
    <x:row r="86" ht="15.75" customHeight="1">
      <x:c r="O86" s="36"/>
    </x:row>
    <x:row r="87" ht="15.75" customHeight="1">
      <x:c r="O87" s="36"/>
    </x:row>
    <x:row r="88" ht="15.75" customHeight="1">
      <x:c r="O88" s="36"/>
    </x:row>
    <x:row r="89" ht="15.75" customHeight="1">
      <x:c r="O89" s="36"/>
    </x:row>
    <x:row r="90" ht="15.75" customHeight="1">
      <x:c r="O90" s="36"/>
    </x:row>
    <x:row r="91" ht="15.75" customHeight="1">
      <x:c r="O91" s="36"/>
    </x:row>
    <x:row r="92" ht="15.75" customHeight="1">
      <x:c r="O92" s="36"/>
    </x:row>
    <x:row r="93" ht="15.75" customHeight="1">
      <x:c r="O93" s="36"/>
    </x:row>
    <x:row r="94" ht="15.75" customHeight="1">
      <x:c r="O94" s="36"/>
    </x:row>
    <x:row r="95" ht="15.75" customHeight="1">
      <x:c r="O95" s="36"/>
    </x:row>
    <x:row r="96" ht="15.75" customHeight="1">
      <x:c r="O96" s="36"/>
    </x:row>
    <x:row r="97" ht="15.75" customHeight="1">
      <x:c r="O97" s="36"/>
    </x:row>
    <x:row r="98" ht="15.75" customHeight="1">
      <x:c r="O98" s="36"/>
    </x:row>
    <x:row r="99" ht="15.75" customHeight="1">
      <x:c r="O99" s="36"/>
    </x:row>
    <x:row r="100" ht="15.75" customHeight="1">
      <x:c r="O100" s="36"/>
    </x:row>
    <x:row r="101" ht="15.75" customHeight="1">
      <x:c r="O101" s="36"/>
    </x:row>
    <x:row r="102" ht="15.75" customHeight="1">
      <x:c r="O102" s="36"/>
    </x:row>
    <x:row r="103" ht="15.75" customHeight="1">
      <x:c r="O103" s="36"/>
    </x:row>
    <x:row r="104" ht="15.75" customHeight="1">
      <x:c r="O104" s="36"/>
    </x:row>
    <x:row r="105" ht="15.75" customHeight="1">
      <x:c r="O105" s="36"/>
    </x:row>
    <x:row r="106" ht="15.75" customHeight="1">
      <x:c r="O106" s="36"/>
    </x:row>
    <x:row r="107" ht="15.75" customHeight="1">
      <x:c r="O107" s="36"/>
    </x:row>
    <x:row r="108" ht="15.75" customHeight="1">
      <x:c r="O108" s="36"/>
    </x:row>
    <x:row r="109" ht="15.75" customHeight="1">
      <x:c r="O109" s="36"/>
    </x:row>
    <x:row r="110" ht="15.75" customHeight="1">
      <x:c r="O110" s="36"/>
    </x:row>
    <x:row r="111" ht="15.75" customHeight="1">
      <x:c r="O111" s="36"/>
    </x:row>
    <x:row r="112" ht="15.75" customHeight="1">
      <x:c r="O112" s="36"/>
    </x:row>
    <x:row r="113" ht="15.75" customHeight="1">
      <x:c r="O113" s="36"/>
    </x:row>
    <x:row r="114" ht="15.75" customHeight="1">
      <x:c r="O114" s="36"/>
    </x:row>
    <x:row r="115" ht="15.75" customHeight="1">
      <x:c r="O115" s="36"/>
    </x:row>
    <x:row r="116" ht="15.75" customHeight="1">
      <x:c r="O116" s="36"/>
    </x:row>
    <x:row r="117" ht="15.75" customHeight="1">
      <x:c r="O117" s="36"/>
    </x:row>
    <x:row r="118" ht="15.75" customHeight="1">
      <x:c r="O118" s="36"/>
    </x:row>
    <x:row r="119" ht="15.75" customHeight="1">
      <x:c r="O119" s="36"/>
    </x:row>
    <x:row r="120" ht="15.75" customHeight="1">
      <x:c r="O120" s="36"/>
    </x:row>
    <x:row r="121" ht="15.75" customHeight="1">
      <x:c r="O121" s="36"/>
    </x:row>
    <x:row r="122" ht="15.75" customHeight="1">
      <x:c r="O122" s="36"/>
    </x:row>
    <x:row r="123" ht="15.75" customHeight="1">
      <x:c r="O123" s="36"/>
    </x:row>
    <x:row r="124" ht="15.75" customHeight="1">
      <x:c r="O124" s="36"/>
    </x:row>
    <x:row r="125" ht="15.75" customHeight="1">
      <x:c r="O125" s="36"/>
    </x:row>
    <x:row r="126" ht="15.75" customHeight="1">
      <x:c r="O126" s="36"/>
    </x:row>
    <x:row r="127" ht="15.75" customHeight="1">
      <x:c r="O127" s="36"/>
    </x:row>
    <x:row r="128" ht="15.75" customHeight="1">
      <x:c r="O128" s="36"/>
    </x:row>
    <x:row r="129" ht="15.75" customHeight="1">
      <x:c r="O129" s="36"/>
    </x:row>
    <x:row r="130" ht="15.75" customHeight="1">
      <x:c r="O130" s="36"/>
    </x:row>
    <x:row r="131" ht="15.75" customHeight="1">
      <x:c r="O131" s="36"/>
    </x:row>
    <x:row r="132" ht="15.75" customHeight="1">
      <x:c r="O132" s="36"/>
    </x:row>
    <x:row r="133" ht="15.75" customHeight="1">
      <x:c r="O133" s="36"/>
    </x:row>
    <x:row r="134" ht="15.75" customHeight="1">
      <x:c r="O134" s="36"/>
    </x:row>
    <x:row r="135" ht="15.75" customHeight="1">
      <x:c r="O135" s="36"/>
    </x:row>
    <x:row r="136" ht="15.75" customHeight="1">
      <x:c r="O136" s="36"/>
    </x:row>
    <x:row r="137" ht="15.75" customHeight="1">
      <x:c r="O137" s="36"/>
    </x:row>
    <x:row r="138" ht="15.75" customHeight="1">
      <x:c r="O138" s="36"/>
    </x:row>
    <x:row r="139" ht="15.75" customHeight="1">
      <x:c r="O139" s="36"/>
    </x:row>
    <x:row r="140" ht="15.75" customHeight="1">
      <x:c r="O140" s="36"/>
    </x:row>
    <x:row r="141" ht="15.75" customHeight="1">
      <x:c r="O141" s="36"/>
    </x:row>
    <x:row r="142" ht="15.75" customHeight="1">
      <x:c r="O142" s="36"/>
    </x:row>
    <x:row r="143" ht="15.75" customHeight="1">
      <x:c r="O143" s="36"/>
    </x:row>
    <x:row r="144" ht="15.75" customHeight="1">
      <x:c r="O144" s="36"/>
    </x:row>
    <x:row r="145" ht="15.75" customHeight="1">
      <x:c r="O145" s="36"/>
    </x:row>
    <x:row r="146" ht="15.75" customHeight="1">
      <x:c r="O146" s="36"/>
    </x:row>
    <x:row r="147" ht="15.75" customHeight="1">
      <x:c r="O147" s="36"/>
    </x:row>
    <x:row r="148" ht="15.75" customHeight="1">
      <x:c r="O148" s="36"/>
    </x:row>
    <x:row r="149" ht="15.75" customHeight="1">
      <x:c r="O149" s="36"/>
    </x:row>
    <x:row r="150" ht="15.75" customHeight="1">
      <x:c r="O150" s="36"/>
    </x:row>
    <x:row r="151" ht="15.75" customHeight="1">
      <x:c r="O151" s="36"/>
    </x:row>
    <x:row r="152" ht="15.75" customHeight="1">
      <x:c r="O152" s="36"/>
    </x:row>
    <x:row r="153" ht="15.75" customHeight="1">
      <x:c r="O153" s="36"/>
    </x:row>
    <x:row r="154" ht="15.75" customHeight="1">
      <x:c r="O154" s="36"/>
    </x:row>
    <x:row r="155" ht="15.75" customHeight="1">
      <x:c r="O155" s="36"/>
    </x:row>
    <x:row r="156" ht="15.75" customHeight="1">
      <x:c r="O156" s="36"/>
    </x:row>
    <x:row r="157" ht="15.75" customHeight="1">
      <x:c r="O157" s="36"/>
    </x:row>
    <x:row r="158" ht="15.75" customHeight="1">
      <x:c r="O158" s="36"/>
    </x:row>
    <x:row r="159" ht="15.75" customHeight="1">
      <x:c r="O159" s="36"/>
    </x:row>
    <x:row r="160" ht="15.75" customHeight="1">
      <x:c r="O160" s="36"/>
    </x:row>
    <x:row r="161" ht="15.75" customHeight="1">
      <x:c r="O161" s="36"/>
    </x:row>
    <x:row r="162" ht="15.75" customHeight="1">
      <x:c r="O162" s="36"/>
    </x:row>
    <x:row r="163" ht="15.75" customHeight="1">
      <x:c r="O163" s="36"/>
    </x:row>
    <x:row r="164" ht="15.75" customHeight="1">
      <x:c r="O164" s="36"/>
    </x:row>
    <x:row r="165" ht="15.75" customHeight="1">
      <x:c r="O165" s="36"/>
    </x:row>
    <x:row r="166" ht="15.75" customHeight="1">
      <x:c r="O166" s="36"/>
    </x:row>
    <x:row r="167" ht="15.75" customHeight="1">
      <x:c r="O167" s="36"/>
    </x:row>
    <x:row r="168" ht="15.75" customHeight="1">
      <x:c r="O168" s="36"/>
    </x:row>
    <x:row r="169" ht="15.75" customHeight="1">
      <x:c r="O169" s="36"/>
    </x:row>
    <x:row r="170" ht="15.75" customHeight="1">
      <x:c r="O170" s="36"/>
    </x:row>
    <x:row r="171" ht="15.75" customHeight="1">
      <x:c r="O171" s="36"/>
    </x:row>
    <x:row r="172" ht="15.75" customHeight="1">
      <x:c r="O172" s="36"/>
    </x:row>
    <x:row r="173" ht="15.75" customHeight="1">
      <x:c r="O173" s="36"/>
    </x:row>
    <x:row r="174" ht="15.75" customHeight="1">
      <x:c r="O174" s="36"/>
    </x:row>
    <x:row r="175" ht="15.75" customHeight="1">
      <x:c r="O175" s="36"/>
    </x:row>
    <x:row r="176" ht="15.75" customHeight="1">
      <x:c r="O176" s="36"/>
    </x:row>
    <x:row r="177" ht="15.75" customHeight="1">
      <x:c r="O177" s="36"/>
    </x:row>
    <x:row r="178" ht="15.75" customHeight="1">
      <x:c r="O178" s="36"/>
    </x:row>
    <x:row r="179" ht="15.75" customHeight="1">
      <x:c r="O179" s="36"/>
    </x:row>
    <x:row r="180" ht="15.75" customHeight="1">
      <x:c r="O180" s="36"/>
    </x:row>
    <x:row r="181" ht="15.75" customHeight="1">
      <x:c r="O181" s="36"/>
    </x:row>
    <x:row r="182" ht="15.75" customHeight="1">
      <x:c r="O182" s="36"/>
    </x:row>
    <x:row r="183" ht="15.75" customHeight="1">
      <x:c r="O183" s="36"/>
    </x:row>
    <x:row r="184" ht="15.75" customHeight="1">
      <x:c r="O184" s="36"/>
    </x:row>
    <x:row r="185" ht="15.75" customHeight="1">
      <x:c r="O185" s="36"/>
    </x:row>
    <x:row r="186" ht="15.75" customHeight="1">
      <x:c r="O186" s="36"/>
    </x:row>
    <x:row r="187" ht="15.75" customHeight="1">
      <x:c r="O187" s="36"/>
    </x:row>
    <x:row r="188" ht="15.75" customHeight="1">
      <x:c r="O188" s="36"/>
    </x:row>
    <x:row r="189" ht="15.75" customHeight="1">
      <x:c r="O189" s="36"/>
    </x:row>
    <x:row r="190" ht="15.75" customHeight="1">
      <x:c r="O190" s="36"/>
    </x:row>
    <x:row r="191" ht="15.75" customHeight="1">
      <x:c r="O191" s="36"/>
    </x:row>
    <x:row r="192" ht="15.75" customHeight="1">
      <x:c r="O192" s="36"/>
    </x:row>
    <x:row r="193" ht="15.75" customHeight="1">
      <x:c r="O193" s="36"/>
    </x:row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</x:sheetData>
  <x:mergeCells>
    <x:mergeCell ref="G15:M15"/>
    <x:mergeCell ref="B2:F2"/>
    <x:mergeCell ref="I2:O2"/>
    <x:mergeCell ref="B4:P4"/>
    <x:mergeCell ref="G5:M5"/>
    <x:mergeCell ref="B6:O6"/>
    <x:mergeCell ref="G7:M7"/>
    <x:mergeCell ref="G8:M8"/>
    <x:mergeCell ref="G9:M9"/>
    <x:mergeCell ref="G10:M10"/>
    <x:mergeCell ref="G11:M11"/>
    <x:mergeCell ref="B14:O14"/>
    <x:mergeCell ref="B30:O30"/>
    <x:mergeCell ref="G16:M16"/>
    <x:mergeCell ref="G17:M17"/>
    <x:mergeCell ref="G18:M18"/>
    <x:mergeCell ref="G19:M19"/>
    <x:mergeCell ref="G21:N21"/>
    <x:mergeCell ref="B22:O22"/>
    <x:mergeCell ref="G23:M23"/>
    <x:mergeCell ref="G24:M24"/>
    <x:mergeCell ref="G25:M25"/>
    <x:mergeCell ref="G26:M26"/>
    <x:mergeCell ref="G27:M27"/>
    <x:mergeCell ref="B46:O46"/>
    <x:mergeCell ref="G31:M31"/>
    <x:mergeCell ref="G32:M32"/>
    <x:mergeCell ref="G33:M33"/>
    <x:mergeCell ref="G34:M34"/>
    <x:mergeCell ref="G35:M35"/>
    <x:mergeCell ref="B38:O38"/>
    <x:mergeCell ref="G39:M39"/>
    <x:mergeCell ref="G40:M40"/>
    <x:mergeCell ref="G41:M41"/>
    <x:mergeCell ref="G42:M42"/>
    <x:mergeCell ref="G43:M43"/>
    <x:mergeCell ref="B62:O62"/>
    <x:mergeCell ref="G47:M47"/>
    <x:mergeCell ref="G48:M48"/>
    <x:mergeCell ref="G49:M49"/>
    <x:mergeCell ref="G50:M50"/>
    <x:mergeCell ref="G51:M51"/>
    <x:mergeCell ref="B54:O54"/>
    <x:mergeCell ref="G55:M55"/>
    <x:mergeCell ref="G56:M56"/>
    <x:mergeCell ref="G57:M57"/>
    <x:mergeCell ref="G58:M58"/>
    <x:mergeCell ref="G59:M59"/>
    <x:mergeCell ref="B78:O78"/>
    <x:mergeCell ref="G63:M63"/>
    <x:mergeCell ref="G64:M64"/>
    <x:mergeCell ref="G65:M65"/>
    <x:mergeCell ref="G66:M66"/>
    <x:mergeCell ref="G67:M67"/>
    <x:mergeCell ref="B70:O70"/>
    <x:mergeCell ref="G71:M71"/>
    <x:mergeCell ref="G72:M72"/>
    <x:mergeCell ref="G73:M73"/>
    <x:mergeCell ref="G74:M74"/>
    <x:mergeCell ref="G75:M75"/>
    <x:mergeCell ref="G79:M79"/>
    <x:mergeCell ref="G80:M80"/>
    <x:mergeCell ref="G81:M81"/>
    <x:mergeCell ref="G82:M82"/>
    <x:mergeCell ref="G83:M83"/>
  </x:mergeCells>
  <x:conditionalFormatting sqref="P28:P29 P1:P4 P36:P37 P44:P45 P52:P53 P60:P61 P68:P69 P76:P77 P84:P968 P12:P22 P6:P6">
    <x:cfRule type="cellIs" dxfId="72" priority="18" operator="equal">
      <x:formula>"미완료"</x:formula>
    </x:cfRule>
  </x:conditionalFormatting>
  <x:conditionalFormatting sqref="P30:P30">
    <x:cfRule type="cellIs" dxfId="71" priority="17" operator="equal">
      <x:formula>"미완료"</x:formula>
    </x:cfRule>
  </x:conditionalFormatting>
  <x:conditionalFormatting sqref="P38:P38">
    <x:cfRule type="cellIs" dxfId="70" priority="16" operator="equal">
      <x:formula>"미완료"</x:formula>
    </x:cfRule>
  </x:conditionalFormatting>
  <x:conditionalFormatting sqref="P46:P46">
    <x:cfRule type="cellIs" dxfId="69" priority="15" operator="equal">
      <x:formula>"미완료"</x:formula>
    </x:cfRule>
  </x:conditionalFormatting>
  <x:conditionalFormatting sqref="P54:P54">
    <x:cfRule type="cellIs" dxfId="68" priority="14" operator="equal">
      <x:formula>"미완료"</x:formula>
    </x:cfRule>
  </x:conditionalFormatting>
  <x:conditionalFormatting sqref="P62:P62">
    <x:cfRule type="cellIs" dxfId="67" priority="13" operator="equal">
      <x:formula>"미완료"</x:formula>
    </x:cfRule>
  </x:conditionalFormatting>
  <x:conditionalFormatting sqref="P70:P70">
    <x:cfRule type="cellIs" dxfId="66" priority="12" operator="equal">
      <x:formula>"미완료"</x:formula>
    </x:cfRule>
  </x:conditionalFormatting>
  <x:conditionalFormatting sqref="P78:P78">
    <x:cfRule type="cellIs" dxfId="65" priority="11" operator="equal">
      <x:formula>"미완료"</x:formula>
    </x:cfRule>
  </x:conditionalFormatting>
  <x:conditionalFormatting sqref="P7:P11">
    <x:cfRule type="cellIs" dxfId="64" priority="10" operator="equal">
      <x:formula>"미완료"</x:formula>
    </x:cfRule>
  </x:conditionalFormatting>
  <x:conditionalFormatting sqref="P23:P27">
    <x:cfRule type="cellIs" dxfId="63" priority="9" operator="equal">
      <x:formula>"미완료"</x:formula>
    </x:cfRule>
  </x:conditionalFormatting>
  <x:conditionalFormatting sqref="P31:P35">
    <x:cfRule type="cellIs" dxfId="62" priority="8" operator="equal">
      <x:formula>"미완료"</x:formula>
    </x:cfRule>
  </x:conditionalFormatting>
  <x:conditionalFormatting sqref="P39:P43">
    <x:cfRule type="cellIs" dxfId="61" priority="7" operator="equal">
      <x:formula>"미완료"</x:formula>
    </x:cfRule>
  </x:conditionalFormatting>
  <x:conditionalFormatting sqref="P47:P51">
    <x:cfRule type="cellIs" dxfId="60" priority="6" operator="equal">
      <x:formula>"미완료"</x:formula>
    </x:cfRule>
  </x:conditionalFormatting>
  <x:conditionalFormatting sqref="P55:P59">
    <x:cfRule type="cellIs" dxfId="59" priority="5" operator="equal">
      <x:formula>"미완료"</x:formula>
    </x:cfRule>
  </x:conditionalFormatting>
  <x:conditionalFormatting sqref="P63:P67">
    <x:cfRule type="cellIs" dxfId="58" priority="4" operator="equal">
      <x:formula>"미완료"</x:formula>
    </x:cfRule>
  </x:conditionalFormatting>
  <x:conditionalFormatting sqref="P71:P75">
    <x:cfRule type="cellIs" dxfId="57" priority="3" operator="equal">
      <x:formula>"미완료"</x:formula>
    </x:cfRule>
  </x:conditionalFormatting>
  <x:conditionalFormatting sqref="P79:P83">
    <x:cfRule type="cellIs" dxfId="56" priority="2" operator="equal">
      <x:formula>"미완료"</x:formula>
    </x:cfRule>
  </x:conditionalFormatting>
  <x:conditionalFormatting sqref="P5:P5">
    <x:cfRule type="cellIs" dxfId="55" priority="1" operator="equal">
      <x:formula>"미완료"</x:formula>
    </x:cfRule>
  </x:conditionalFormatting>
  <x:dataValidations count="4">
    <x:dataValidation type="list" allowBlank="1" sqref="B71 B79 B15 B23 B31 B39 B47 B55 B63 B7">
      <x:formula1>$R$3:$R$11</x:formula1>
    </x:dataValidation>
    <x:dataValidation type="list" allowBlank="1" sqref="B72:B75 B8:B12 B16:B21 B24:B27 B32:B35 B40:B43 B48:B51 B56:B59 B64:B67 B80:B83">
      <x:formula1>$R$3:$R$9</x:formula1>
    </x:dataValidation>
    <x:dataValidation type="list" allowBlank="1" showErrorMessage="1" sqref="P71:P75 P15:P21 P7:P11 P23:P27 P31:P35 P39:P43 P47:P51 P55:P59 P63:P67 P79:P83">
      <x:formula1>$R$13:$R$14</x:formula1>
    </x:dataValidation>
    <x:dataValidation type="list" allowBlank="1" sqref="C71:C75 C15:C21 C79:C83 C23:C27 C31:C35 C39:C43 C47:C51 C55:C59 C63:C67 C7:C12">
      <x:formula1>$T$3:$T$6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C00000"/>
  </x:sheetPr>
  <x:sheetViews>
    <x:sheetView showGridLines="0" workbookViewId="0"/>
  </x:sheetViews>
  <x:sheetFormatPr defaultColWidth="14.42578125" defaultRowHeight="15"/>
  <x:cols>
    <x:col min="1" max="1" width="4.85546875" style="36" customWidth="1"/>
    <x:col min="2" max="2" width="17.28515625" style="160" customWidth="1"/>
    <x:col min="3" max="6" width="15.140625" style="160" customWidth="1"/>
    <x:col min="7" max="14" width="19.140625" style="160" customWidth="1"/>
    <x:col min="15" max="15" width="30.7109375" style="160" customWidth="1"/>
    <x:col min="16" max="16" width="10.42578125" style="160" customWidth="1"/>
    <x:col min="17" max="17" width="3.28515625" style="160" customWidth="1"/>
    <x:col min="18" max="18" width="17.140625" style="160" customWidth="1"/>
    <x:col min="19" max="19" width="3.28515625" style="160" customWidth="1"/>
    <x:col min="20" max="20" width="17.140625" style="160" customWidth="1"/>
    <x:col min="21" max="21" width="3.28515625" style="160" customWidth="1"/>
    <x:col min="22" max="16384" width="14.42578125" style="160" customWidth="0"/>
  </x:cols>
  <x:sheetData>
    <x:row r="1" ht="21" customHeight="1">
      <x:c r="A1" s="101"/>
      <x:c r="B1" s="1"/>
      <x:c r="C1" s="2"/>
      <x:c r="D1" s="3"/>
      <x:c r="E1" s="3"/>
      <x:c r="F1" s="4"/>
      <x:c r="G1" s="2"/>
      <x:c r="H1" s="2"/>
      <x:c r="I1" s="5"/>
      <x:c r="J1" s="6"/>
      <x:c r="K1" s="7"/>
      <x:c r="L1" s="6"/>
      <x:c r="M1" s="6"/>
      <x:c r="N1" s="6"/>
      <x:c r="O1" s="5"/>
      <x:c r="P1" s="9"/>
      <x:c r="Q1" s="8"/>
      <x:c r="R1" s="8"/>
      <x:c r="S1" s="8"/>
      <x:c r="T1" s="8"/>
      <x:c r="U1" s="8"/>
    </x:row>
    <x:row r="2" ht="24.75" customHeight="1">
      <x:c r="A2" s="101"/>
      <x:c r="B2" s="214" t="s">
        <x:v>0</x:v>
      </x:c>
      <x:c r="C2" s="215"/>
      <x:c r="D2" s="215"/>
      <x:c r="E2" s="215"/>
      <x:c r="F2" s="216"/>
      <x:c r="G2" s="10"/>
      <x:c r="H2" s="11" t="s">
        <x:v>1</x:v>
      </x:c>
      <x:c r="I2" s="217" t="s">
        <x:v>2</x:v>
      </x:c>
      <x:c r="J2" s="215"/>
      <x:c r="K2" s="215"/>
      <x:c r="L2" s="215"/>
      <x:c r="M2" s="215"/>
      <x:c r="N2" s="215"/>
      <x:c r="O2" s="216"/>
      <x:c r="Q2" s="12"/>
      <x:c r="R2" s="13" t="s">
        <x:v>3</x:v>
      </x:c>
      <x:c r="S2" s="13"/>
      <x:c r="T2" s="13" t="s">
        <x:v>4</x:v>
      </x:c>
      <x:c r="U2" s="12"/>
    </x:row>
    <x:row r="3" ht="21" customHeight="1">
      <x:c r="A3" s="101"/>
      <x:c r="B3" s="14"/>
      <x:c r="C3" s="14"/>
      <x:c r="D3" s="15"/>
      <x:c r="E3" s="15"/>
      <x:c r="F3" s="16"/>
      <x:c r="G3" s="17"/>
      <x:c r="H3" s="18"/>
      <x:c r="I3" s="19"/>
      <x:c r="J3" s="19"/>
      <x:c r="K3" s="19"/>
      <x:c r="L3" s="20"/>
      <x:c r="M3" s="20"/>
      <x:c r="N3" s="20"/>
      <x:c r="O3" s="39"/>
      <x:c r="P3" s="20"/>
      <x:c r="Q3" s="21"/>
      <x:c r="R3" s="22" t="s">
        <x:v>5</x:v>
      </x:c>
      <x:c r="S3" s="23"/>
      <x:c r="T3" s="22" t="s">
        <x:v>6</x:v>
      </x:c>
      <x:c r="U3" s="21"/>
    </x:row>
    <x:row r="4" ht="21" customHeight="1">
      <x:c r="A4" s="101"/>
      <x:c r="B4" s="218" t="s">
        <x:v>7</x:v>
      </x:c>
      <x:c r="C4" s="219"/>
      <x:c r="D4" s="219"/>
      <x:c r="E4" s="219"/>
      <x:c r="F4" s="219"/>
      <x:c r="G4" s="219"/>
      <x:c r="H4" s="219"/>
      <x:c r="I4" s="219"/>
      <x:c r="J4" s="219"/>
      <x:c r="K4" s="219"/>
      <x:c r="L4" s="219"/>
      <x:c r="M4" s="219"/>
      <x:c r="N4" s="219"/>
      <x:c r="O4" s="219"/>
      <x:c r="P4" s="220"/>
      <x:c r="Q4" s="21"/>
      <x:c r="R4" s="22" t="s">
        <x:v>8</x:v>
      </x:c>
      <x:c r="S4" s="23"/>
      <x:c r="T4" s="22" t="s">
        <x:v>9</x:v>
      </x:c>
      <x:c r="U4" s="21"/>
    </x:row>
    <x:row r="5" ht="21" customHeight="1">
      <x:c r="A5" s="101"/>
      <x:c r="B5" s="40" t="s">
        <x:v>10</x:v>
      </x:c>
      <x:c r="C5" s="41" t="s">
        <x:v>11</x:v>
      </x:c>
      <x:c r="D5" s="41" t="s">
        <x:v>12</x:v>
      </x:c>
      <x:c r="E5" s="40" t="s">
        <x:v>13</x:v>
      </x:c>
      <x:c r="F5" s="40" t="s">
        <x:v>14</x:v>
      </x:c>
      <x:c r="G5" s="223" t="s">
        <x:v>15</x:v>
      </x:c>
      <x:c r="H5" s="223"/>
      <x:c r="I5" s="223"/>
      <x:c r="J5" s="223"/>
      <x:c r="K5" s="223"/>
      <x:c r="L5" s="223"/>
      <x:c r="M5" s="223"/>
      <x:c r="N5" s="159" t="s">
        <x:v>16</x:v>
      </x:c>
      <x:c r="O5" s="41" t="s">
        <x:v>17</x:v>
      </x:c>
      <x:c r="P5" s="40" t="s">
        <x:v>18</x:v>
      </x:c>
      <x:c r="Q5" s="21"/>
      <x:c r="R5" s="22" t="s">
        <x:v>19</x:v>
      </x:c>
      <x:c r="S5" s="23"/>
      <x:c r="T5" s="22" t="s">
        <x:v>20</x:v>
      </x:c>
      <x:c r="U5" s="21"/>
    </x:row>
    <x:row r="6" ht="30" customHeight="1">
      <x:c r="A6" s="104">
        <x:v>41</x:v>
      </x:c>
      <x:c r="B6" s="221" t="s">
        <x:v>74</x:v>
      </x:c>
      <x:c r="C6" s="222"/>
      <x:c r="D6" s="222"/>
      <x:c r="E6" s="222"/>
      <x:c r="F6" s="222"/>
      <x:c r="G6" s="222"/>
      <x:c r="H6" s="222"/>
      <x:c r="I6" s="222"/>
      <x:c r="J6" s="222"/>
      <x:c r="K6" s="222"/>
      <x:c r="L6" s="222"/>
      <x:c r="M6" s="222"/>
      <x:c r="N6" s="222"/>
      <x:c r="O6" s="222"/>
      <x:c r="P6" s="81"/>
      <x:c r="Q6" s="21"/>
      <x:c r="R6" s="25" t="s">
        <x:v>22</x:v>
      </x:c>
      <x:c r="S6" s="23"/>
      <x:c r="T6" s="22"/>
      <x:c r="U6" s="21"/>
    </x:row>
    <x:row r="7" ht="15.949999809265137" customHeight="1">
      <x:c r="A7" s="42"/>
      <x:c r="B7" s="26" t="s">
        <x:v>60</x:v>
      </x:c>
      <x:c r="C7" s="26" t="s">
        <x:v>9</x:v>
      </x:c>
      <x:c r="D7" s="28">
        <x:v>46140</x:v>
      </x:c>
      <x:c r="E7" s="28">
        <x:v>46141</x:v>
      </x:c>
      <x:c r="F7" s="84" t="n">
        <x:f>DAYS360(D7,E7)</x:f>
        <x:v>1</x:v>
      </x:c>
      <x:c r="G7" s="228"/>
      <x:c r="H7" s="229"/>
      <x:c r="I7" s="229"/>
      <x:c r="J7" s="229"/>
      <x:c r="K7" s="229"/>
      <x:c r="L7" s="229"/>
      <x:c r="M7" s="229"/>
      <x:c r="N7" s="117"/>
      <x:c r="O7" s="85"/>
      <x:c r="P7" s="85"/>
      <x:c r="Q7" s="27"/>
      <x:c r="R7" s="25" t="s">
        <x:v>24</x:v>
      </x:c>
      <x:c r="S7" s="27"/>
      <x:c r="T7" s="27"/>
      <x:c r="U7" s="27"/>
    </x:row>
    <x:row r="8" ht="15.949999809265137" customHeight="1">
      <x:c r="A8" s="102"/>
      <x:c r="B8" s="82"/>
      <x:c r="C8" s="82"/>
      <x:c r="D8" s="83"/>
      <x:c r="E8" s="83"/>
      <x:c r="F8" s="84" t="e">
        <x:f t="shared" ref="F8:F11" si="0">DAYS360(D8,E8)</x:f>
      </x:c>
      <x:c r="G8" s="224"/>
      <x:c r="H8" s="225"/>
      <x:c r="I8" s="225"/>
      <x:c r="J8" s="225"/>
      <x:c r="K8" s="225"/>
      <x:c r="L8" s="225"/>
      <x:c r="M8" s="225"/>
      <x:c r="N8" s="117"/>
      <x:c r="O8" s="85"/>
      <x:c r="P8" s="85"/>
      <x:c r="Q8" s="30"/>
      <x:c r="R8" s="25"/>
      <x:c r="S8" s="30"/>
      <x:c r="T8" s="30"/>
      <x:c r="U8" s="30"/>
    </x:row>
    <x:row r="9" ht="15.949999809265137" customHeight="1">
      <x:c r="A9" s="102"/>
      <x:c r="B9" s="82"/>
      <x:c r="C9" s="82"/>
      <x:c r="D9" s="83"/>
      <x:c r="E9" s="83"/>
      <x:c r="F9" s="84">
        <x:f t="shared" si="0"/>
        <x:v>0</x:v>
      </x:c>
      <x:c r="G9" s="224"/>
      <x:c r="H9" s="225"/>
      <x:c r="I9" s="225"/>
      <x:c r="J9" s="225"/>
      <x:c r="K9" s="225"/>
      <x:c r="L9" s="225"/>
      <x:c r="M9" s="225"/>
      <x:c r="N9" s="117"/>
      <x:c r="O9" s="85"/>
      <x:c r="P9" s="85"/>
      <x:c r="Q9" s="30"/>
      <x:c r="R9" s="25"/>
      <x:c r="S9" s="30"/>
      <x:c r="T9" s="30"/>
      <x:c r="U9" s="30"/>
    </x:row>
    <x:row r="10" ht="15.949999809265137" customHeight="1">
      <x:c r="A10" s="103"/>
      <x:c r="B10" s="82"/>
      <x:c r="C10" s="82"/>
      <x:c r="D10" s="83"/>
      <x:c r="E10" s="93"/>
      <x:c r="F10" s="84">
        <x:f t="shared" si="0"/>
        <x:v>0</x:v>
      </x:c>
      <x:c r="G10" s="224"/>
      <x:c r="H10" s="225"/>
      <x:c r="I10" s="225"/>
      <x:c r="J10" s="225"/>
      <x:c r="K10" s="225"/>
      <x:c r="L10" s="225"/>
      <x:c r="M10" s="225"/>
      <x:c r="N10" s="117"/>
      <x:c r="O10" s="85"/>
      <x:c r="P10" s="85"/>
      <x:c r="Q10" s="30"/>
      <x:c r="R10" s="30"/>
      <x:c r="S10" s="30"/>
      <x:c r="T10" s="30"/>
      <x:c r="U10" s="30"/>
    </x:row>
    <x:row r="11" ht="15.949999809265137" customHeight="1">
      <x:c r="A11" s="103"/>
      <x:c r="B11" s="82"/>
      <x:c r="C11" s="82"/>
      <x:c r="D11" s="83"/>
      <x:c r="E11" s="93"/>
      <x:c r="F11" s="84">
        <x:f t="shared" si="0"/>
        <x:v>0</x:v>
      </x:c>
      <x:c r="G11" s="224"/>
      <x:c r="H11" s="225"/>
      <x:c r="I11" s="225"/>
      <x:c r="J11" s="225"/>
      <x:c r="K11" s="225"/>
      <x:c r="L11" s="225"/>
      <x:c r="M11" s="225"/>
      <x:c r="N11" s="117"/>
      <x:c r="O11" s="85"/>
      <x:c r="P11" s="85"/>
      <x:c r="Q11" s="30"/>
      <x:c r="R11" s="13" t="s">
        <x:v>25</x:v>
      </x:c>
      <x:c r="S11" s="30"/>
      <x:c r="T11" s="30"/>
      <x:c r="U11" s="30"/>
    </x:row>
    <x:row r="12" ht="21" customHeight="1">
      <x:c r="A12" s="103"/>
      <x:c r="B12" s="107"/>
      <x:c r="C12" s="107"/>
      <x:c r="D12" s="108"/>
      <x:c r="E12" s="108"/>
      <x:c r="F12" s="109"/>
      <x:c r="G12" s="107"/>
      <x:c r="H12" s="110"/>
      <x:c r="I12" s="110"/>
      <x:c r="J12" s="110"/>
      <x:c r="K12" s="110"/>
      <x:c r="L12" s="110"/>
      <x:c r="M12" s="110"/>
      <x:c r="N12" s="131" t="n">
        <x:f>SUM(N7:N11)</x:f>
        <x:v>0</x:v>
      </x:c>
      <x:c r="O12" s="107"/>
      <x:c r="P12" s="111"/>
      <x:c r="Q12" s="112"/>
      <x:c r="R12" s="113"/>
      <x:c r="S12" s="112"/>
      <x:c r="T12" s="112"/>
      <x:c r="U12" s="112"/>
    </x:row>
    <x:row r="13" ht="21" customHeight="1">
      <x:c r="A13" s="75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49"/>
      <x:c r="Q13" s="30"/>
      <x:c r="R13" s="25" t="s">
        <x:v>26</x:v>
      </x:c>
      <x:c r="S13" s="30"/>
      <x:c r="T13" s="30"/>
      <x:c r="U13" s="30"/>
    </x:row>
    <x:row r="14" ht="27.75" customHeight="1">
      <x:c r="A14" s="104">
        <x:v>42</x:v>
      </x:c>
      <x:c r="B14" s="221" t="s">
        <x:v>75</x:v>
      </x:c>
      <x:c r="C14" s="222"/>
      <x:c r="D14" s="222"/>
      <x:c r="E14" s="222"/>
      <x:c r="F14" s="222"/>
      <x:c r="G14" s="222"/>
      <x:c r="H14" s="222"/>
      <x:c r="I14" s="222"/>
      <x:c r="J14" s="222"/>
      <x:c r="K14" s="222"/>
      <x:c r="L14" s="222"/>
      <x:c r="M14" s="222"/>
      <x:c r="N14" s="222"/>
      <x:c r="O14" s="222"/>
      <x:c r="P14" s="92"/>
      <x:c r="Q14" s="30"/>
      <x:c r="R14" s="25" t="s">
        <x:v>28</x:v>
      </x:c>
      <x:c r="S14" s="30"/>
      <x:c r="T14" s="30"/>
      <x:c r="U14" s="30"/>
    </x:row>
    <x:row r="15" ht="15.949999809265137" customHeight="1">
      <x:c r="A15" s="75"/>
      <x:c r="B15" s="26" t="s">
        <x:v>23</x:v>
      </x:c>
      <x:c r="C15" s="26" t="s">
        <x:v>9</x:v>
      </x:c>
      <x:c r="D15" s="28">
        <x:v>46140</x:v>
      </x:c>
      <x:c r="E15" s="28">
        <x:v>46141</x:v>
      </x:c>
      <x:c r="F15" s="84" t="n">
        <x:f>DAYS360(D15,E15)</x:f>
        <x:v>1</x:v>
      </x:c>
      <x:c r="G15" s="228"/>
      <x:c r="H15" s="229"/>
      <x:c r="I15" s="229"/>
      <x:c r="J15" s="229"/>
      <x:c r="K15" s="229"/>
      <x:c r="L15" s="229"/>
      <x:c r="M15" s="229"/>
      <x:c r="N15" s="117"/>
      <x:c r="O15" s="85"/>
      <x:c r="P15" s="85"/>
      <x:c r="Q15" s="37"/>
      <x:c r="R15" s="25"/>
      <x:c r="S15" s="37"/>
      <x:c r="T15" s="37"/>
      <x:c r="U15" s="37"/>
    </x:row>
    <x:row r="16" ht="15.949999809265137" customHeight="1">
      <x:c r="A16" s="75"/>
      <x:c r="B16" s="82"/>
      <x:c r="C16" s="82"/>
      <x:c r="D16" s="83"/>
      <x:c r="E16" s="83"/>
      <x:c r="F16" s="84" t="e">
        <x:f t="shared" ref="F16:F19" si="1">DAYS360(D16,E16)</x:f>
      </x:c>
      <x:c r="G16" s="224"/>
      <x:c r="H16" s="225"/>
      <x:c r="I16" s="225"/>
      <x:c r="J16" s="225"/>
      <x:c r="K16" s="225"/>
      <x:c r="L16" s="225"/>
      <x:c r="M16" s="225"/>
      <x:c r="N16" s="117"/>
      <x:c r="O16" s="85"/>
      <x:c r="P16" s="85"/>
      <x:c r="Q16" s="38"/>
      <x:c r="R16" s="38"/>
      <x:c r="S16" s="38"/>
      <x:c r="T16" s="38"/>
      <x:c r="U16" s="38"/>
    </x:row>
    <x:row r="17" ht="15.949999809265137" customHeight="1">
      <x:c r="A17" s="75"/>
      <x:c r="B17" s="82"/>
      <x:c r="C17" s="82"/>
      <x:c r="D17" s="83"/>
      <x:c r="E17" s="93"/>
      <x:c r="F17" s="84">
        <x:f t="shared" si="1"/>
        <x:v>0</x:v>
      </x:c>
      <x:c r="G17" s="224"/>
      <x:c r="H17" s="225"/>
      <x:c r="I17" s="225"/>
      <x:c r="J17" s="225"/>
      <x:c r="K17" s="225"/>
      <x:c r="L17" s="225"/>
      <x:c r="M17" s="225"/>
      <x:c r="N17" s="117"/>
      <x:c r="O17" s="85"/>
      <x:c r="P17" s="85"/>
      <x:c r="Q17" s="38"/>
      <x:c r="R17" s="38"/>
      <x:c r="S17" s="38"/>
      <x:c r="T17" s="38"/>
      <x:c r="U17" s="38"/>
    </x:row>
    <x:row r="18" ht="15.949999809265137" customHeight="1">
      <x:c r="A18" s="75"/>
      <x:c r="B18" s="82"/>
      <x:c r="C18" s="82"/>
      <x:c r="D18" s="83"/>
      <x:c r="E18" s="93"/>
      <x:c r="F18" s="84">
        <x:f t="shared" si="1"/>
        <x:v>0</x:v>
      </x:c>
      <x:c r="G18" s="224"/>
      <x:c r="H18" s="225"/>
      <x:c r="I18" s="225"/>
      <x:c r="J18" s="225"/>
      <x:c r="K18" s="225"/>
      <x:c r="L18" s="225"/>
      <x:c r="M18" s="225"/>
      <x:c r="N18" s="117"/>
      <x:c r="O18" s="85"/>
      <x:c r="P18" s="85"/>
      <x:c r="Q18" s="38"/>
      <x:c r="R18" s="38"/>
      <x:c r="S18" s="38"/>
      <x:c r="T18" s="38"/>
      <x:c r="U18" s="38"/>
    </x:row>
    <x:row r="19" ht="15.949999809265137" customHeight="1">
      <x:c r="A19" s="75"/>
      <x:c r="B19" s="82"/>
      <x:c r="C19" s="82"/>
      <x:c r="D19" s="83"/>
      <x:c r="E19" s="83"/>
      <x:c r="F19" s="84">
        <x:f t="shared" si="1"/>
        <x:v>0</x:v>
      </x:c>
      <x:c r="G19" s="224"/>
      <x:c r="H19" s="225"/>
      <x:c r="I19" s="225"/>
      <x:c r="J19" s="225"/>
      <x:c r="K19" s="225"/>
      <x:c r="L19" s="225"/>
      <x:c r="M19" s="225"/>
      <x:c r="N19" s="117"/>
      <x:c r="O19" s="85"/>
      <x:c r="P19" s="85"/>
      <x:c r="Q19" s="38"/>
      <x:c r="R19" s="38"/>
      <x:c r="S19" s="38"/>
      <x:c r="T19" s="38"/>
      <x:c r="U19" s="38"/>
    </x:row>
    <x:row r="20" ht="21" customHeight="1">
      <x:c r="A20" s="75"/>
      <x:c r="B20" s="43"/>
      <x:c r="C20" s="43"/>
      <x:c r="D20" s="44"/>
      <x:c r="E20" s="44"/>
      <x:c r="F20" s="36"/>
      <x:c r="G20" s="129"/>
      <x:c r="N20" s="131" t="n">
        <x:f>SUM(N15:N19)</x:f>
        <x:v>0</x:v>
      </x:c>
      <x:c r="O20" s="47"/>
      <x:c r="P20" s="47"/>
      <x:c r="Q20" s="38"/>
      <x:c r="R20" s="38"/>
      <x:c r="S20" s="38"/>
      <x:c r="T20" s="38"/>
      <x:c r="U20" s="38"/>
    </x:row>
    <x:row r="21" ht="21" customHeight="1">
      <x:c r="A21" s="75"/>
      <x:c r="B21" s="161"/>
      <x:c r="C21" s="161"/>
      <x:c r="D21" s="33"/>
      <x:c r="E21" s="33"/>
      <x:c r="F21" s="34"/>
      <x:c r="G21" s="226"/>
      <x:c r="H21" s="227"/>
      <x:c r="I21" s="227"/>
      <x:c r="J21" s="227"/>
      <x:c r="K21" s="227"/>
      <x:c r="L21" s="227"/>
      <x:c r="M21" s="227"/>
      <x:c r="N21" s="227"/>
      <x:c r="O21" s="161"/>
      <x:c r="P21" s="47"/>
      <x:c r="Q21" s="38"/>
      <x:c r="R21" s="38"/>
      <x:c r="S21" s="38"/>
      <x:c r="T21" s="38"/>
      <x:c r="U21" s="38"/>
    </x:row>
    <x:row r="22" ht="26.25">
      <x:c r="A22" s="105">
        <x:v>43</x:v>
      </x:c>
      <x:c r="B22" s="221" t="s">
        <x:v>76</x:v>
      </x:c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49"/>
      <x:c r="Q22" s="38"/>
      <x:c r="R22" s="38"/>
      <x:c r="S22" s="38"/>
      <x:c r="T22" s="38"/>
      <x:c r="U22" s="38"/>
    </x:row>
    <x:row r="23" ht="15.949999809265137" customHeight="1">
      <x:c r="A23" s="75"/>
      <x:c r="B23" s="26" t="s">
        <x:v>60</x:v>
      </x:c>
      <x:c r="C23" s="26" t="s">
        <x:v>9</x:v>
      </x:c>
      <x:c r="D23" s="28">
        <x:v>46136</x:v>
      </x:c>
      <x:c r="E23" s="28">
        <x:v>46150</x:v>
      </x:c>
      <x:c r="F23" s="84" t="n">
        <x:f>DAYS360(D23,E23)</x:f>
        <x:v>14</x:v>
      </x:c>
      <x:c r="G23" s="228"/>
      <x:c r="H23" s="229"/>
      <x:c r="I23" s="229"/>
      <x:c r="J23" s="229"/>
      <x:c r="K23" s="229"/>
      <x:c r="L23" s="229"/>
      <x:c r="M23" s="229"/>
      <x:c r="N23" s="117"/>
      <x:c r="O23" s="85"/>
      <x:c r="P23" s="85"/>
      <x:c r="Q23" s="38"/>
      <x:c r="R23" s="38"/>
      <x:c r="S23" s="38"/>
      <x:c r="T23" s="38"/>
      <x:c r="U23" s="38"/>
    </x:row>
    <x:row r="24" ht="15.949999809265137" customHeight="1">
      <x:c r="A24" s="75"/>
      <x:c r="B24" s="82"/>
      <x:c r="C24" s="82"/>
      <x:c r="D24" s="83"/>
      <x:c r="E24" s="83"/>
      <x:c r="F24" s="84" t="e">
        <x:f t="shared" ref="F24:F27" si="2">DAYS360(D24,E24)</x:f>
      </x:c>
      <x:c r="G24" s="224"/>
      <x:c r="H24" s="225"/>
      <x:c r="I24" s="225"/>
      <x:c r="J24" s="225"/>
      <x:c r="K24" s="225"/>
      <x:c r="L24" s="225"/>
      <x:c r="M24" s="225"/>
      <x:c r="N24" s="117"/>
      <x:c r="O24" s="85"/>
      <x:c r="P24" s="85"/>
      <x:c r="Q24" s="38"/>
      <x:c r="R24" s="38"/>
      <x:c r="S24" s="38"/>
      <x:c r="T24" s="38"/>
      <x:c r="U24" s="38"/>
    </x:row>
    <x:row r="25" ht="15.949999809265137" customHeight="1">
      <x:c r="A25" s="75"/>
      <x:c r="B25" s="82"/>
      <x:c r="C25" s="82"/>
      <x:c r="D25" s="83"/>
      <x:c r="E25" s="93"/>
      <x:c r="F25" s="84">
        <x:f t="shared" si="2"/>
        <x:v>0</x:v>
      </x:c>
      <x:c r="G25" s="224"/>
      <x:c r="H25" s="225"/>
      <x:c r="I25" s="225"/>
      <x:c r="J25" s="225"/>
      <x:c r="K25" s="225"/>
      <x:c r="L25" s="225"/>
      <x:c r="M25" s="225"/>
      <x:c r="N25" s="117"/>
      <x:c r="O25" s="85"/>
      <x:c r="P25" s="85"/>
      <x:c r="Q25" s="106"/>
      <x:c r="R25" s="106"/>
      <x:c r="S25" s="106"/>
      <x:c r="T25" s="106"/>
      <x:c r="U25" s="106"/>
    </x:row>
    <x:row r="26" ht="15.949999809265137" customHeight="1">
      <x:c r="A26" s="75"/>
      <x:c r="B26" s="82"/>
      <x:c r="C26" s="82"/>
      <x:c r="D26" s="83"/>
      <x:c r="E26" s="93"/>
      <x:c r="F26" s="84">
        <x:f t="shared" si="2"/>
        <x:v>0</x:v>
      </x:c>
      <x:c r="G26" s="224"/>
      <x:c r="H26" s="225"/>
      <x:c r="I26" s="225"/>
      <x:c r="J26" s="225"/>
      <x:c r="K26" s="225"/>
      <x:c r="L26" s="225"/>
      <x:c r="M26" s="225"/>
      <x:c r="N26" s="117"/>
      <x:c r="O26" s="85"/>
      <x:c r="P26" s="85"/>
      <x:c r="Q26" s="38"/>
      <x:c r="R26" s="38"/>
      <x:c r="S26" s="38"/>
      <x:c r="T26" s="38"/>
      <x:c r="U26" s="38"/>
    </x:row>
    <x:row r="27" ht="15.949999809265137" customHeight="1">
      <x:c r="A27" s="75"/>
      <x:c r="B27" s="82"/>
      <x:c r="C27" s="82"/>
      <x:c r="D27" s="83"/>
      <x:c r="E27" s="83"/>
      <x:c r="F27" s="84">
        <x:f t="shared" si="2"/>
        <x:v>0</x:v>
      </x:c>
      <x:c r="G27" s="224"/>
      <x:c r="H27" s="225"/>
      <x:c r="I27" s="225"/>
      <x:c r="J27" s="225"/>
      <x:c r="K27" s="225"/>
      <x:c r="L27" s="225"/>
      <x:c r="M27" s="225"/>
      <x:c r="N27" s="117"/>
      <x:c r="O27" s="85"/>
      <x:c r="P27" s="85"/>
      <x:c r="Q27" s="38"/>
      <x:c r="R27" s="38"/>
      <x:c r="S27" s="38"/>
      <x:c r="T27" s="38"/>
      <x:c r="U27" s="38"/>
    </x:row>
    <x:row r="28" ht="21" customHeight="1">
      <x:c r="N28" s="131" t="n">
        <x:f>SUM(N23:N27)</x:f>
        <x:v>0</x:v>
      </x:c>
      <x:c r="O28" s="36"/>
    </x:row>
    <x:row r="29" ht="21" customHeight="1">
      <x:c r="O29" s="36"/>
    </x:row>
    <x:row r="30" ht="26.100000381469727" customHeight="1">
      <x:c r="A30" s="105">
        <x:v>44</x:v>
      </x:c>
      <x:c r="B30" s="221" t="s">
        <x:v>77</x:v>
      </x:c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49"/>
    </x:row>
    <x:row r="31" ht="15.75" customHeight="1">
      <x:c r="A31" s="75"/>
      <x:c r="B31" s="26" t="s">
        <x:v>23</x:v>
      </x:c>
      <x:c r="C31" s="26" t="s">
        <x:v>20</x:v>
      </x:c>
      <x:c r="D31" s="28">
        <x:v>46140</x:v>
      </x:c>
      <x:c r="E31" s="28">
        <x:v>46141</x:v>
      </x:c>
      <x:c r="F31" s="84" t="n">
        <x:f>DAYS360(D31,E31)</x:f>
        <x:v>1</x:v>
      </x:c>
      <x:c r="G31" s="224"/>
      <x:c r="H31" s="225"/>
      <x:c r="I31" s="225"/>
      <x:c r="J31" s="225"/>
      <x:c r="K31" s="225"/>
      <x:c r="L31" s="225"/>
      <x:c r="M31" s="225"/>
      <x:c r="N31" s="117"/>
      <x:c r="O31" s="85"/>
      <x:c r="P31" s="85"/>
    </x:row>
    <x:row r="32" ht="15.75" customHeight="1">
      <x:c r="A32" s="75"/>
      <x:c r="B32" s="82"/>
      <x:c r="C32" s="82"/>
      <x:c r="D32" s="83"/>
      <x:c r="E32" s="83"/>
      <x:c r="F32" s="84" t="e">
        <x:f t="shared" ref="F32:F35" si="3">DAYS360(D32,E32)</x:f>
      </x:c>
      <x:c r="G32" s="224"/>
      <x:c r="H32" s="225"/>
      <x:c r="I32" s="225"/>
      <x:c r="J32" s="225"/>
      <x:c r="K32" s="225"/>
      <x:c r="L32" s="225"/>
      <x:c r="M32" s="225"/>
      <x:c r="N32" s="117"/>
      <x:c r="O32" s="85"/>
      <x:c r="P32" s="85"/>
    </x:row>
    <x:row r="33" ht="15.75" customHeight="1">
      <x:c r="A33" s="75"/>
      <x:c r="B33" s="82"/>
      <x:c r="C33" s="82"/>
      <x:c r="D33" s="83"/>
      <x:c r="E33" s="93"/>
      <x:c r="F33" s="84">
        <x:f t="shared" si="3"/>
        <x:v>0</x:v>
      </x:c>
      <x:c r="G33" s="224"/>
      <x:c r="H33" s="225"/>
      <x:c r="I33" s="225"/>
      <x:c r="J33" s="225"/>
      <x:c r="K33" s="225"/>
      <x:c r="L33" s="225"/>
      <x:c r="M33" s="225"/>
      <x:c r="N33" s="117"/>
      <x:c r="O33" s="85"/>
      <x:c r="P33" s="85"/>
    </x:row>
    <x:row r="34" ht="15.75" customHeight="1">
      <x:c r="A34" s="75"/>
      <x:c r="B34" s="82"/>
      <x:c r="C34" s="82"/>
      <x:c r="D34" s="83"/>
      <x:c r="E34" s="93"/>
      <x:c r="F34" s="84">
        <x:f t="shared" si="3"/>
        <x:v>0</x:v>
      </x:c>
      <x:c r="G34" s="224"/>
      <x:c r="H34" s="225"/>
      <x:c r="I34" s="225"/>
      <x:c r="J34" s="225"/>
      <x:c r="K34" s="225"/>
      <x:c r="L34" s="225"/>
      <x:c r="M34" s="225"/>
      <x:c r="N34" s="117"/>
      <x:c r="O34" s="85"/>
      <x:c r="P34" s="85"/>
    </x:row>
    <x:row r="35" ht="15.75" customHeight="1">
      <x:c r="A35" s="75"/>
      <x:c r="B35" s="82"/>
      <x:c r="C35" s="82"/>
      <x:c r="D35" s="83"/>
      <x:c r="E35" s="83"/>
      <x:c r="F35" s="84">
        <x:f t="shared" si="3"/>
        <x:v>0</x:v>
      </x:c>
      <x:c r="G35" s="224"/>
      <x:c r="H35" s="225"/>
      <x:c r="I35" s="225"/>
      <x:c r="J35" s="225"/>
      <x:c r="K35" s="225"/>
      <x:c r="L35" s="225"/>
      <x:c r="M35" s="225"/>
      <x:c r="N35" s="117"/>
      <x:c r="O35" s="85"/>
      <x:c r="P35" s="85"/>
    </x:row>
    <x:row r="36" ht="15.75" customHeight="1">
      <x:c r="N36" s="131" t="n">
        <x:f>SUM(N31:N35)</x:f>
        <x:v>0</x:v>
      </x:c>
      <x:c r="O36" s="36"/>
    </x:row>
    <x:row r="37" ht="15.75" customHeight="1">
      <x:c r="O37" s="36"/>
    </x:row>
    <x:row r="38" ht="26.100000381469727" customHeight="1">
      <x:c r="A38" s="105">
        <x:v>45</x:v>
      </x:c>
      <x:c r="B38" s="221" t="s">
        <x:v>78</x:v>
      </x:c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49"/>
    </x:row>
    <x:row r="39" ht="15.75" customHeight="1">
      <x:c r="A39" s="75"/>
      <x:c r="B39" s="26" t="s">
        <x:v>23</x:v>
      </x:c>
      <x:c r="C39" s="26" t="s">
        <x:v>20</x:v>
      </x:c>
      <x:c r="D39" s="28">
        <x:v>46140</x:v>
      </x:c>
      <x:c r="E39" s="28">
        <x:v>46141</x:v>
      </x:c>
      <x:c r="F39" s="84" t="n">
        <x:f>DAYS360(D39,E39)</x:f>
        <x:v>1</x:v>
      </x:c>
      <x:c r="G39" s="224"/>
      <x:c r="H39" s="225"/>
      <x:c r="I39" s="225"/>
      <x:c r="J39" s="225"/>
      <x:c r="K39" s="225"/>
      <x:c r="L39" s="225"/>
      <x:c r="M39" s="225"/>
      <x:c r="N39" s="117"/>
      <x:c r="O39" s="85"/>
      <x:c r="P39" s="85"/>
    </x:row>
    <x:row r="40" ht="15.75" customHeight="1">
      <x:c r="A40" s="75"/>
      <x:c r="B40" s="82"/>
      <x:c r="C40" s="82"/>
      <x:c r="D40" s="83"/>
      <x:c r="E40" s="83"/>
      <x:c r="F40" s="84" t="e">
        <x:f t="shared" ref="F40:F43" si="4">DAYS360(D40,E40)</x:f>
      </x:c>
      <x:c r="G40" s="224"/>
      <x:c r="H40" s="225"/>
      <x:c r="I40" s="225"/>
      <x:c r="J40" s="225"/>
      <x:c r="K40" s="225"/>
      <x:c r="L40" s="225"/>
      <x:c r="M40" s="225"/>
      <x:c r="N40" s="117"/>
      <x:c r="O40" s="85"/>
      <x:c r="P40" s="85"/>
    </x:row>
    <x:row r="41" ht="15.75" customHeight="1">
      <x:c r="A41" s="75"/>
      <x:c r="B41" s="82"/>
      <x:c r="C41" s="82"/>
      <x:c r="D41" s="83"/>
      <x:c r="E41" s="93"/>
      <x:c r="F41" s="84">
        <x:f t="shared" si="4"/>
        <x:v>0</x:v>
      </x:c>
      <x:c r="G41" s="224"/>
      <x:c r="H41" s="225"/>
      <x:c r="I41" s="225"/>
      <x:c r="J41" s="225"/>
      <x:c r="K41" s="225"/>
      <x:c r="L41" s="225"/>
      <x:c r="M41" s="225"/>
      <x:c r="N41" s="117"/>
      <x:c r="O41" s="85"/>
      <x:c r="P41" s="85"/>
    </x:row>
    <x:row r="42" ht="15.75" customHeight="1">
      <x:c r="A42" s="75"/>
      <x:c r="B42" s="82"/>
      <x:c r="C42" s="82"/>
      <x:c r="D42" s="83"/>
      <x:c r="E42" s="93"/>
      <x:c r="F42" s="84">
        <x:f t="shared" si="4"/>
        <x:v>0</x:v>
      </x:c>
      <x:c r="G42" s="224"/>
      <x:c r="H42" s="225"/>
      <x:c r="I42" s="225"/>
      <x:c r="J42" s="225"/>
      <x:c r="K42" s="225"/>
      <x:c r="L42" s="225"/>
      <x:c r="M42" s="225"/>
      <x:c r="N42" s="117"/>
      <x:c r="O42" s="85"/>
      <x:c r="P42" s="85"/>
    </x:row>
    <x:row r="43" ht="15.75" customHeight="1">
      <x:c r="A43" s="75"/>
      <x:c r="B43" s="82"/>
      <x:c r="C43" s="82"/>
      <x:c r="D43" s="83"/>
      <x:c r="E43" s="83"/>
      <x:c r="F43" s="84">
        <x:f t="shared" si="4"/>
        <x:v>0</x:v>
      </x:c>
      <x:c r="G43" s="224"/>
      <x:c r="H43" s="225"/>
      <x:c r="I43" s="225"/>
      <x:c r="J43" s="225"/>
      <x:c r="K43" s="225"/>
      <x:c r="L43" s="225"/>
      <x:c r="M43" s="225"/>
      <x:c r="N43" s="117"/>
      <x:c r="O43" s="85"/>
      <x:c r="P43" s="85"/>
    </x:row>
    <x:row r="44" ht="15.75" customHeight="1">
      <x:c r="N44" s="131" t="n">
        <x:f>SUM(N39:N43)</x:f>
        <x:v>0</x:v>
      </x:c>
      <x:c r="O44" s="36"/>
    </x:row>
    <x:row r="45" ht="15.75" customHeight="1">
      <x:c r="O45" s="36"/>
    </x:row>
    <x:row r="46" ht="26.100000381469727" customHeight="1">
      <x:c r="A46" s="105">
        <x:v>46</x:v>
      </x:c>
      <x:c r="B46" s="221" t="s">
        <x:v>79</x:v>
      </x:c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49"/>
    </x:row>
    <x:row r="47" ht="15.75" customHeight="1">
      <x:c r="A47" s="75"/>
      <x:c r="B47" s="26" t="s">
        <x:v>23</x:v>
      </x:c>
      <x:c r="C47" s="26" t="s">
        <x:v>20</x:v>
      </x:c>
      <x:c r="D47" s="28">
        <x:v>46140</x:v>
      </x:c>
      <x:c r="E47" s="28">
        <x:v>46141</x:v>
      </x:c>
      <x:c r="F47" s="84" t="n">
        <x:f>DAYS360(D47,E47)</x:f>
        <x:v>1</x:v>
      </x:c>
      <x:c r="G47" s="224"/>
      <x:c r="H47" s="225"/>
      <x:c r="I47" s="225"/>
      <x:c r="J47" s="225"/>
      <x:c r="K47" s="225"/>
      <x:c r="L47" s="225"/>
      <x:c r="M47" s="225"/>
      <x:c r="N47" s="117"/>
      <x:c r="O47" s="85"/>
      <x:c r="P47" s="85"/>
    </x:row>
    <x:row r="48" ht="15.75" customHeight="1">
      <x:c r="A48" s="75"/>
      <x:c r="B48" s="82"/>
      <x:c r="C48" s="82"/>
      <x:c r="D48" s="83"/>
      <x:c r="E48" s="83"/>
      <x:c r="F48" s="84" t="e">
        <x:f t="shared" ref="F48:F51" si="5">DAYS360(D48,E48)</x:f>
      </x:c>
      <x:c r="G48" s="224"/>
      <x:c r="H48" s="225"/>
      <x:c r="I48" s="225"/>
      <x:c r="J48" s="225"/>
      <x:c r="K48" s="225"/>
      <x:c r="L48" s="225"/>
      <x:c r="M48" s="225"/>
      <x:c r="N48" s="117"/>
      <x:c r="O48" s="85"/>
      <x:c r="P48" s="85"/>
    </x:row>
    <x:row r="49" ht="15.75" customHeight="1">
      <x:c r="A49" s="75"/>
      <x:c r="B49" s="82"/>
      <x:c r="C49" s="82"/>
      <x:c r="D49" s="83"/>
      <x:c r="E49" s="93"/>
      <x:c r="F49" s="84">
        <x:f t="shared" si="5"/>
        <x:v>0</x:v>
      </x:c>
      <x:c r="G49" s="224"/>
      <x:c r="H49" s="225"/>
      <x:c r="I49" s="225"/>
      <x:c r="J49" s="225"/>
      <x:c r="K49" s="225"/>
      <x:c r="L49" s="225"/>
      <x:c r="M49" s="225"/>
      <x:c r="N49" s="117"/>
      <x:c r="O49" s="85"/>
      <x:c r="P49" s="85"/>
    </x:row>
    <x:row r="50" ht="15.75" customHeight="1">
      <x:c r="A50" s="75"/>
      <x:c r="B50" s="82"/>
      <x:c r="C50" s="82"/>
      <x:c r="D50" s="83"/>
      <x:c r="E50" s="93"/>
      <x:c r="F50" s="84">
        <x:f t="shared" si="5"/>
        <x:v>0</x:v>
      </x:c>
      <x:c r="G50" s="224"/>
      <x:c r="H50" s="225"/>
      <x:c r="I50" s="225"/>
      <x:c r="J50" s="225"/>
      <x:c r="K50" s="225"/>
      <x:c r="L50" s="225"/>
      <x:c r="M50" s="225"/>
      <x:c r="N50" s="117"/>
      <x:c r="O50" s="85"/>
      <x:c r="P50" s="85"/>
    </x:row>
    <x:row r="51" ht="15.75" customHeight="1">
      <x:c r="A51" s="75"/>
      <x:c r="B51" s="82"/>
      <x:c r="C51" s="82"/>
      <x:c r="D51" s="83"/>
      <x:c r="E51" s="83"/>
      <x:c r="F51" s="84">
        <x:f t="shared" si="5"/>
        <x:v>0</x:v>
      </x:c>
      <x:c r="G51" s="224"/>
      <x:c r="H51" s="225"/>
      <x:c r="I51" s="225"/>
      <x:c r="J51" s="225"/>
      <x:c r="K51" s="225"/>
      <x:c r="L51" s="225"/>
      <x:c r="M51" s="225"/>
      <x:c r="N51" s="117"/>
      <x:c r="O51" s="85"/>
      <x:c r="P51" s="85"/>
    </x:row>
    <x:row r="52" ht="15.75" customHeight="1">
      <x:c r="N52" s="131" t="n">
        <x:f>SUM(N47:N51)</x:f>
        <x:v>0</x:v>
      </x:c>
      <x:c r="O52" s="36"/>
    </x:row>
    <x:row r="53" ht="15.75" customHeight="1">
      <x:c r="O53" s="36"/>
    </x:row>
    <x:row r="54" ht="26.100000381469727" customHeight="1">
      <x:c r="A54" s="105">
        <x:v>47</x:v>
      </x:c>
      <x:c r="B54" s="221" t="s">
        <x:v>80</x:v>
      </x:c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49"/>
    </x:row>
    <x:row r="55" ht="15.75" customHeight="1">
      <x:c r="A55" s="75"/>
      <x:c r="B55" s="26" t="s">
        <x:v>23</x:v>
      </x:c>
      <x:c r="C55" s="26" t="s">
        <x:v>20</x:v>
      </x:c>
      <x:c r="D55" s="28">
        <x:v>46140</x:v>
      </x:c>
      <x:c r="E55" s="28">
        <x:v>46141</x:v>
      </x:c>
      <x:c r="F55" s="84" t="n">
        <x:f>DAYS360(D55,E55)</x:f>
        <x:v>1</x:v>
      </x:c>
      <x:c r="G55" s="224"/>
      <x:c r="H55" s="225"/>
      <x:c r="I55" s="225"/>
      <x:c r="J55" s="225"/>
      <x:c r="K55" s="225"/>
      <x:c r="L55" s="225"/>
      <x:c r="M55" s="225"/>
      <x:c r="N55" s="117"/>
      <x:c r="O55" s="85"/>
      <x:c r="P55" s="85"/>
    </x:row>
    <x:row r="56" ht="15.75" customHeight="1">
      <x:c r="A56" s="75"/>
      <x:c r="B56" s="82"/>
      <x:c r="C56" s="82"/>
      <x:c r="D56" s="83"/>
      <x:c r="E56" s="83"/>
      <x:c r="F56" s="84" t="e">
        <x:f t="shared" ref="F56:F59" si="6">DAYS360(D56,E56)</x:f>
      </x:c>
      <x:c r="G56" s="224"/>
      <x:c r="H56" s="225"/>
      <x:c r="I56" s="225"/>
      <x:c r="J56" s="225"/>
      <x:c r="K56" s="225"/>
      <x:c r="L56" s="225"/>
      <x:c r="M56" s="225"/>
      <x:c r="N56" s="117"/>
      <x:c r="O56" s="85"/>
      <x:c r="P56" s="85"/>
    </x:row>
    <x:row r="57" ht="15.75" customHeight="1">
      <x:c r="A57" s="75"/>
      <x:c r="B57" s="82"/>
      <x:c r="C57" s="82"/>
      <x:c r="D57" s="83"/>
      <x:c r="E57" s="93"/>
      <x:c r="F57" s="84">
        <x:f t="shared" si="6"/>
        <x:v>0</x:v>
      </x:c>
      <x:c r="G57" s="224"/>
      <x:c r="H57" s="225"/>
      <x:c r="I57" s="225"/>
      <x:c r="J57" s="225"/>
      <x:c r="K57" s="225"/>
      <x:c r="L57" s="225"/>
      <x:c r="M57" s="225"/>
      <x:c r="N57" s="117"/>
      <x:c r="O57" s="85"/>
      <x:c r="P57" s="85"/>
    </x:row>
    <x:row r="58" ht="15.75" customHeight="1">
      <x:c r="A58" s="75"/>
      <x:c r="B58" s="82"/>
      <x:c r="C58" s="82"/>
      <x:c r="D58" s="83"/>
      <x:c r="E58" s="93"/>
      <x:c r="F58" s="84">
        <x:f t="shared" si="6"/>
        <x:v>0</x:v>
      </x:c>
      <x:c r="G58" s="224"/>
      <x:c r="H58" s="225"/>
      <x:c r="I58" s="225"/>
      <x:c r="J58" s="225"/>
      <x:c r="K58" s="225"/>
      <x:c r="L58" s="225"/>
      <x:c r="M58" s="225"/>
      <x:c r="N58" s="117"/>
      <x:c r="O58" s="85"/>
      <x:c r="P58" s="85"/>
    </x:row>
    <x:row r="59" ht="15.75" customHeight="1">
      <x:c r="A59" s="75"/>
      <x:c r="B59" s="82"/>
      <x:c r="C59" s="82"/>
      <x:c r="D59" s="83"/>
      <x:c r="E59" s="83"/>
      <x:c r="F59" s="84">
        <x:f t="shared" si="6"/>
        <x:v>0</x:v>
      </x:c>
      <x:c r="G59" s="224"/>
      <x:c r="H59" s="225"/>
      <x:c r="I59" s="225"/>
      <x:c r="J59" s="225"/>
      <x:c r="K59" s="225"/>
      <x:c r="L59" s="225"/>
      <x:c r="M59" s="225"/>
      <x:c r="N59" s="117"/>
      <x:c r="O59" s="85"/>
      <x:c r="P59" s="85"/>
    </x:row>
    <x:row r="60" ht="15.75" customHeight="1">
      <x:c r="N60" s="131" t="n">
        <x:f>SUM(N55:N59)</x:f>
        <x:v>0</x:v>
      </x:c>
      <x:c r="O60" s="36"/>
    </x:row>
    <x:row r="61" ht="15.75" customHeight="1">
      <x:c r="O61" s="36"/>
    </x:row>
    <x:row r="62" ht="26.100000381469727" customHeight="1">
      <x:c r="A62" s="105">
        <x:v>48</x:v>
      </x:c>
      <x:c r="B62" s="221"/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  <x:c r="P62" s="49"/>
    </x:row>
    <x:row r="63" ht="15.75" customHeight="1">
      <x:c r="A63" s="75"/>
      <x:c r="B63" s="26" t="s">
        <x:v>23</x:v>
      </x:c>
      <x:c r="C63" s="26" t="s">
        <x:v>20</x:v>
      </x:c>
      <x:c r="D63" s="28">
        <x:v>46140</x:v>
      </x:c>
      <x:c r="E63" s="28">
        <x:v>46141</x:v>
      </x:c>
      <x:c r="F63" s="84" t="n">
        <x:f>DAYS360(D63,E63)</x:f>
        <x:v>1</x:v>
      </x:c>
      <x:c r="G63" s="224"/>
      <x:c r="H63" s="225"/>
      <x:c r="I63" s="225"/>
      <x:c r="J63" s="225"/>
      <x:c r="K63" s="225"/>
      <x:c r="L63" s="225"/>
      <x:c r="M63" s="225"/>
      <x:c r="N63" s="117"/>
      <x:c r="O63" s="85"/>
      <x:c r="P63" s="85"/>
    </x:row>
    <x:row r="64" ht="15.75" customHeight="1">
      <x:c r="A64" s="75"/>
      <x:c r="B64" s="82"/>
      <x:c r="C64" s="82"/>
      <x:c r="D64" s="83"/>
      <x:c r="E64" s="83"/>
      <x:c r="F64" s="84" t="e">
        <x:f t="shared" ref="F64:F67" si="7">DAYS360(D64,E64)</x:f>
      </x:c>
      <x:c r="G64" s="224"/>
      <x:c r="H64" s="225"/>
      <x:c r="I64" s="225"/>
      <x:c r="J64" s="225"/>
      <x:c r="K64" s="225"/>
      <x:c r="L64" s="225"/>
      <x:c r="M64" s="225"/>
      <x:c r="N64" s="117"/>
      <x:c r="O64" s="85"/>
      <x:c r="P64" s="85"/>
    </x:row>
    <x:row r="65" ht="15.75" customHeight="1">
      <x:c r="A65" s="75"/>
      <x:c r="B65" s="82"/>
      <x:c r="C65" s="82"/>
      <x:c r="D65" s="83"/>
      <x:c r="E65" s="93"/>
      <x:c r="F65" s="84">
        <x:f t="shared" si="7"/>
        <x:v>0</x:v>
      </x:c>
      <x:c r="G65" s="224"/>
      <x:c r="H65" s="225"/>
      <x:c r="I65" s="225"/>
      <x:c r="J65" s="225"/>
      <x:c r="K65" s="225"/>
      <x:c r="L65" s="225"/>
      <x:c r="M65" s="225"/>
      <x:c r="N65" s="117"/>
      <x:c r="O65" s="85"/>
      <x:c r="P65" s="85"/>
    </x:row>
    <x:row r="66" ht="15.75" customHeight="1">
      <x:c r="A66" s="75"/>
      <x:c r="B66" s="82"/>
      <x:c r="C66" s="82"/>
      <x:c r="D66" s="83"/>
      <x:c r="E66" s="93"/>
      <x:c r="F66" s="84">
        <x:f t="shared" si="7"/>
        <x:v>0</x:v>
      </x:c>
      <x:c r="G66" s="224"/>
      <x:c r="H66" s="225"/>
      <x:c r="I66" s="225"/>
      <x:c r="J66" s="225"/>
      <x:c r="K66" s="225"/>
      <x:c r="L66" s="225"/>
      <x:c r="M66" s="225"/>
      <x:c r="N66" s="117"/>
      <x:c r="O66" s="85"/>
      <x:c r="P66" s="85"/>
    </x:row>
    <x:row r="67" ht="15.75" customHeight="1">
      <x:c r="A67" s="75"/>
      <x:c r="B67" s="82"/>
      <x:c r="C67" s="82"/>
      <x:c r="D67" s="83"/>
      <x:c r="E67" s="83"/>
      <x:c r="F67" s="84">
        <x:f t="shared" si="7"/>
        <x:v>0</x:v>
      </x:c>
      <x:c r="G67" s="224"/>
      <x:c r="H67" s="225"/>
      <x:c r="I67" s="225"/>
      <x:c r="J67" s="225"/>
      <x:c r="K67" s="225"/>
      <x:c r="L67" s="225"/>
      <x:c r="M67" s="225"/>
      <x:c r="N67" s="117"/>
      <x:c r="O67" s="85"/>
      <x:c r="P67" s="85"/>
    </x:row>
    <x:row r="68" ht="15.75" customHeight="1">
      <x:c r="N68" s="131" t="n">
        <x:f>SUM(N63:N67)</x:f>
        <x:v>0</x:v>
      </x:c>
      <x:c r="O68" s="36"/>
    </x:row>
    <x:row r="69" ht="15.75" customHeight="1">
      <x:c r="O69" s="36"/>
    </x:row>
    <x:row r="70" ht="26.100000381469727" customHeight="1">
      <x:c r="A70" s="105">
        <x:v>49</x:v>
      </x:c>
      <x:c r="B70" s="221"/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49"/>
    </x:row>
    <x:row r="71" ht="15.75" customHeight="1">
      <x:c r="A71" s="75"/>
      <x:c r="B71" s="26" t="s">
        <x:v>23</x:v>
      </x:c>
      <x:c r="C71" s="26" t="s">
        <x:v>20</x:v>
      </x:c>
      <x:c r="D71" s="28">
        <x:v>46140</x:v>
      </x:c>
      <x:c r="E71" s="28">
        <x:v>46141</x:v>
      </x:c>
      <x:c r="F71" s="84" t="n">
        <x:f>DAYS360(D71,E71)</x:f>
        <x:v>1</x:v>
      </x:c>
      <x:c r="G71" s="224"/>
      <x:c r="H71" s="225"/>
      <x:c r="I71" s="225"/>
      <x:c r="J71" s="225"/>
      <x:c r="K71" s="225"/>
      <x:c r="L71" s="225"/>
      <x:c r="M71" s="225"/>
      <x:c r="N71" s="117"/>
      <x:c r="O71" s="85"/>
      <x:c r="P71" s="85"/>
    </x:row>
    <x:row r="72" ht="15.75" customHeight="1">
      <x:c r="A72" s="75"/>
      <x:c r="B72" s="82"/>
      <x:c r="C72" s="82"/>
      <x:c r="D72" s="83"/>
      <x:c r="E72" s="83"/>
      <x:c r="F72" s="84" t="e">
        <x:f t="shared" ref="F72:F75" si="8">DAYS360(D72,E72)</x:f>
      </x:c>
      <x:c r="G72" s="224"/>
      <x:c r="H72" s="225"/>
      <x:c r="I72" s="225"/>
      <x:c r="J72" s="225"/>
      <x:c r="K72" s="225"/>
      <x:c r="L72" s="225"/>
      <x:c r="M72" s="225"/>
      <x:c r="N72" s="117"/>
      <x:c r="O72" s="85"/>
      <x:c r="P72" s="85"/>
    </x:row>
    <x:row r="73" ht="15.75" customHeight="1">
      <x:c r="A73" s="75"/>
      <x:c r="B73" s="82"/>
      <x:c r="C73" s="82"/>
      <x:c r="D73" s="83"/>
      <x:c r="E73" s="93"/>
      <x:c r="F73" s="84">
        <x:f t="shared" si="8"/>
        <x:v>0</x:v>
      </x:c>
      <x:c r="G73" s="224"/>
      <x:c r="H73" s="225"/>
      <x:c r="I73" s="225"/>
      <x:c r="J73" s="225"/>
      <x:c r="K73" s="225"/>
      <x:c r="L73" s="225"/>
      <x:c r="M73" s="225"/>
      <x:c r="N73" s="117"/>
      <x:c r="O73" s="85"/>
      <x:c r="P73" s="85"/>
    </x:row>
    <x:row r="74" ht="15.75" customHeight="1">
      <x:c r="A74" s="75"/>
      <x:c r="B74" s="82"/>
      <x:c r="C74" s="82"/>
      <x:c r="D74" s="83"/>
      <x:c r="E74" s="93"/>
      <x:c r="F74" s="84">
        <x:f t="shared" si="8"/>
        <x:v>0</x:v>
      </x:c>
      <x:c r="G74" s="224"/>
      <x:c r="H74" s="225"/>
      <x:c r="I74" s="225"/>
      <x:c r="J74" s="225"/>
      <x:c r="K74" s="225"/>
      <x:c r="L74" s="225"/>
      <x:c r="M74" s="225"/>
      <x:c r="N74" s="117"/>
      <x:c r="O74" s="85"/>
      <x:c r="P74" s="85"/>
    </x:row>
    <x:row r="75" ht="15.75" customHeight="1">
      <x:c r="A75" s="75"/>
      <x:c r="B75" s="82"/>
      <x:c r="C75" s="82"/>
      <x:c r="D75" s="83"/>
      <x:c r="E75" s="83"/>
      <x:c r="F75" s="84">
        <x:f t="shared" si="8"/>
        <x:v>0</x:v>
      </x:c>
      <x:c r="G75" s="224"/>
      <x:c r="H75" s="225"/>
      <x:c r="I75" s="225"/>
      <x:c r="J75" s="225"/>
      <x:c r="K75" s="225"/>
      <x:c r="L75" s="225"/>
      <x:c r="M75" s="225"/>
      <x:c r="N75" s="117"/>
      <x:c r="O75" s="85"/>
      <x:c r="P75" s="85"/>
    </x:row>
    <x:row r="76" ht="15.75" customHeight="1">
      <x:c r="N76" s="131" t="n">
        <x:f>SUM(N71:N75)</x:f>
        <x:v>0</x:v>
      </x:c>
      <x:c r="O76" s="36"/>
    </x:row>
    <x:row r="77" ht="15.75" customHeight="1">
      <x:c r="O77" s="36"/>
    </x:row>
    <x:row r="78" ht="26.100000381469727" customHeight="1">
      <x:c r="A78" s="105">
        <x:v>50</x:v>
      </x:c>
      <x:c r="B78" s="221"/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49"/>
    </x:row>
    <x:row r="79" ht="15.75" customHeight="1">
      <x:c r="A79" s="75"/>
      <x:c r="B79" s="26" t="s">
        <x:v>23</x:v>
      </x:c>
      <x:c r="C79" s="26" t="s">
        <x:v>20</x:v>
      </x:c>
      <x:c r="D79" s="28">
        <x:v>46140</x:v>
      </x:c>
      <x:c r="E79" s="28">
        <x:v>46141</x:v>
      </x:c>
      <x:c r="F79" s="84" t="n">
        <x:f>DAYS360(D79,E79)</x:f>
        <x:v>1</x:v>
      </x:c>
      <x:c r="G79" s="224"/>
      <x:c r="H79" s="225"/>
      <x:c r="I79" s="225"/>
      <x:c r="J79" s="225"/>
      <x:c r="K79" s="225"/>
      <x:c r="L79" s="225"/>
      <x:c r="M79" s="225"/>
      <x:c r="N79" s="117"/>
      <x:c r="O79" s="85"/>
      <x:c r="P79" s="85"/>
    </x:row>
    <x:row r="80" ht="15.75" customHeight="1">
      <x:c r="A80" s="75"/>
      <x:c r="B80" s="82"/>
      <x:c r="C80" s="82"/>
      <x:c r="D80" s="83"/>
      <x:c r="E80" s="83"/>
      <x:c r="F80" s="84" t="e">
        <x:f t="shared" ref="F80:F83" si="9">DAYS360(D80,E80)</x:f>
      </x:c>
      <x:c r="G80" s="224"/>
      <x:c r="H80" s="225"/>
      <x:c r="I80" s="225"/>
      <x:c r="J80" s="225"/>
      <x:c r="K80" s="225"/>
      <x:c r="L80" s="225"/>
      <x:c r="M80" s="225"/>
      <x:c r="N80" s="117"/>
      <x:c r="O80" s="85"/>
      <x:c r="P80" s="85"/>
    </x:row>
    <x:row r="81" ht="15.75" customHeight="1">
      <x:c r="A81" s="75"/>
      <x:c r="B81" s="82"/>
      <x:c r="C81" s="82"/>
      <x:c r="D81" s="83"/>
      <x:c r="E81" s="93"/>
      <x:c r="F81" s="84">
        <x:f t="shared" si="9"/>
        <x:v>0</x:v>
      </x:c>
      <x:c r="G81" s="224"/>
      <x:c r="H81" s="225"/>
      <x:c r="I81" s="225"/>
      <x:c r="J81" s="225"/>
      <x:c r="K81" s="225"/>
      <x:c r="L81" s="225"/>
      <x:c r="M81" s="225"/>
      <x:c r="N81" s="117"/>
      <x:c r="O81" s="85"/>
      <x:c r="P81" s="85"/>
    </x:row>
    <x:row r="82" ht="15.75" customHeight="1">
      <x:c r="A82" s="75"/>
      <x:c r="B82" s="82"/>
      <x:c r="C82" s="82"/>
      <x:c r="D82" s="83"/>
      <x:c r="E82" s="93"/>
      <x:c r="F82" s="84">
        <x:f t="shared" si="9"/>
        <x:v>0</x:v>
      </x:c>
      <x:c r="G82" s="224"/>
      <x:c r="H82" s="225"/>
      <x:c r="I82" s="225"/>
      <x:c r="J82" s="225"/>
      <x:c r="K82" s="225"/>
      <x:c r="L82" s="225"/>
      <x:c r="M82" s="225"/>
      <x:c r="N82" s="117"/>
      <x:c r="O82" s="85"/>
      <x:c r="P82" s="85"/>
    </x:row>
    <x:row r="83" ht="15.75" customHeight="1">
      <x:c r="A83" s="75"/>
      <x:c r="B83" s="82"/>
      <x:c r="C83" s="82"/>
      <x:c r="D83" s="83"/>
      <x:c r="E83" s="83"/>
      <x:c r="F83" s="84">
        <x:f t="shared" si="9"/>
        <x:v>0</x:v>
      </x:c>
      <x:c r="G83" s="224"/>
      <x:c r="H83" s="225"/>
      <x:c r="I83" s="225"/>
      <x:c r="J83" s="225"/>
      <x:c r="K83" s="225"/>
      <x:c r="L83" s="225"/>
      <x:c r="M83" s="225"/>
      <x:c r="N83" s="117"/>
      <x:c r="O83" s="85"/>
      <x:c r="P83" s="85"/>
    </x:row>
    <x:row r="84" ht="15.75" customHeight="1">
      <x:c r="N84" s="131" t="n">
        <x:f>SUM(N79:N83)</x:f>
        <x:v>0</x:v>
      </x:c>
      <x:c r="O84" s="36"/>
    </x:row>
    <x:row r="85" ht="15.75" customHeight="1">
      <x:c r="O85" s="36"/>
    </x:row>
    <x:row r="86" ht="15.75" customHeight="1">
      <x:c r="O86" s="36"/>
    </x:row>
    <x:row r="87" ht="15.75" customHeight="1">
      <x:c r="O87" s="36"/>
    </x:row>
    <x:row r="88" ht="15.75" customHeight="1">
      <x:c r="O88" s="36"/>
    </x:row>
    <x:row r="89" ht="15.75" customHeight="1">
      <x:c r="O89" s="36"/>
    </x:row>
    <x:row r="90" ht="15.75" customHeight="1">
      <x:c r="O90" s="36"/>
    </x:row>
    <x:row r="91" ht="15.75" customHeight="1">
      <x:c r="O91" s="36"/>
    </x:row>
    <x:row r="92" ht="15.75" customHeight="1">
      <x:c r="O92" s="36"/>
    </x:row>
    <x:row r="93" ht="15.75" customHeight="1">
      <x:c r="O93" s="36"/>
    </x:row>
    <x:row r="94" ht="15.75" customHeight="1">
      <x:c r="O94" s="36"/>
    </x:row>
    <x:row r="95" ht="15.75" customHeight="1">
      <x:c r="O95" s="36"/>
    </x:row>
    <x:row r="96" ht="15.75" customHeight="1">
      <x:c r="O96" s="36"/>
    </x:row>
    <x:row r="97" ht="15.75" customHeight="1">
      <x:c r="O97" s="36"/>
    </x:row>
    <x:row r="98" ht="15.75" customHeight="1">
      <x:c r="O98" s="36"/>
    </x:row>
    <x:row r="99" ht="15.75" customHeight="1">
      <x:c r="O99" s="36"/>
    </x:row>
    <x:row r="100" ht="15.75" customHeight="1">
      <x:c r="O100" s="36"/>
    </x:row>
    <x:row r="101" ht="15.75" customHeight="1">
      <x:c r="O101" s="36"/>
    </x:row>
    <x:row r="102" ht="15.75" customHeight="1">
      <x:c r="O102" s="36"/>
    </x:row>
    <x:row r="103" ht="15.75" customHeight="1">
      <x:c r="O103" s="36"/>
    </x:row>
    <x:row r="104" ht="15.75" customHeight="1">
      <x:c r="O104" s="36"/>
    </x:row>
    <x:row r="105" ht="15.75" customHeight="1">
      <x:c r="O105" s="36"/>
    </x:row>
    <x:row r="106" ht="15.75" customHeight="1">
      <x:c r="O106" s="36"/>
    </x:row>
    <x:row r="107" ht="15.75" customHeight="1">
      <x:c r="O107" s="36"/>
    </x:row>
    <x:row r="108" ht="15.75" customHeight="1">
      <x:c r="O108" s="36"/>
    </x:row>
    <x:row r="109" ht="15.75" customHeight="1">
      <x:c r="O109" s="36"/>
    </x:row>
    <x:row r="110" ht="15.75" customHeight="1">
      <x:c r="O110" s="36"/>
    </x:row>
    <x:row r="111" ht="15.75" customHeight="1">
      <x:c r="O111" s="36"/>
    </x:row>
    <x:row r="112" ht="15.75" customHeight="1">
      <x:c r="O112" s="36"/>
    </x:row>
    <x:row r="113" ht="15.75" customHeight="1">
      <x:c r="O113" s="36"/>
    </x:row>
    <x:row r="114" ht="15.75" customHeight="1">
      <x:c r="O114" s="36"/>
    </x:row>
    <x:row r="115" ht="15.75" customHeight="1">
      <x:c r="O115" s="36"/>
    </x:row>
    <x:row r="116" ht="15.75" customHeight="1">
      <x:c r="O116" s="36"/>
    </x:row>
    <x:row r="117" ht="15.75" customHeight="1">
      <x:c r="O117" s="36"/>
    </x:row>
    <x:row r="118" ht="15.75" customHeight="1">
      <x:c r="O118" s="36"/>
    </x:row>
    <x:row r="119" ht="15.75" customHeight="1">
      <x:c r="O119" s="36"/>
    </x:row>
    <x:row r="120" ht="15.75" customHeight="1">
      <x:c r="O120" s="36"/>
    </x:row>
    <x:row r="121" ht="15.75" customHeight="1">
      <x:c r="O121" s="36"/>
    </x:row>
    <x:row r="122" ht="15.75" customHeight="1">
      <x:c r="O122" s="36"/>
    </x:row>
    <x:row r="123" ht="15.75" customHeight="1">
      <x:c r="O123" s="36"/>
    </x:row>
    <x:row r="124" ht="15.75" customHeight="1">
      <x:c r="O124" s="36"/>
    </x:row>
    <x:row r="125" ht="15.75" customHeight="1">
      <x:c r="O125" s="36"/>
    </x:row>
    <x:row r="126" ht="15.75" customHeight="1">
      <x:c r="O126" s="36"/>
    </x:row>
    <x:row r="127" ht="15.75" customHeight="1">
      <x:c r="O127" s="36"/>
    </x:row>
    <x:row r="128" ht="15.75" customHeight="1">
      <x:c r="O128" s="36"/>
    </x:row>
    <x:row r="129" ht="15.75" customHeight="1">
      <x:c r="O129" s="36"/>
    </x:row>
    <x:row r="130" ht="15.75" customHeight="1">
      <x:c r="O130" s="36"/>
    </x:row>
    <x:row r="131" ht="15.75" customHeight="1">
      <x:c r="O131" s="36"/>
    </x:row>
    <x:row r="132" ht="15.75" customHeight="1">
      <x:c r="O132" s="36"/>
    </x:row>
    <x:row r="133" ht="15.75" customHeight="1">
      <x:c r="O133" s="36"/>
    </x:row>
    <x:row r="134" ht="15.75" customHeight="1">
      <x:c r="O134" s="36"/>
    </x:row>
    <x:row r="135" ht="15.75" customHeight="1">
      <x:c r="O135" s="36"/>
    </x:row>
    <x:row r="136" ht="15.75" customHeight="1">
      <x:c r="O136" s="36"/>
    </x:row>
    <x:row r="137" ht="15.75" customHeight="1">
      <x:c r="O137" s="36"/>
    </x:row>
    <x:row r="138" ht="15.75" customHeight="1">
      <x:c r="O138" s="36"/>
    </x:row>
    <x:row r="139" ht="15.75" customHeight="1">
      <x:c r="O139" s="36"/>
    </x:row>
    <x:row r="140" ht="15.75" customHeight="1">
      <x:c r="O140" s="36"/>
    </x:row>
    <x:row r="141" ht="15.75" customHeight="1">
      <x:c r="O141" s="36"/>
    </x:row>
    <x:row r="142" ht="15.75" customHeight="1">
      <x:c r="O142" s="36"/>
    </x:row>
    <x:row r="143" ht="15.75" customHeight="1">
      <x:c r="O143" s="36"/>
    </x:row>
    <x:row r="144" ht="15.75" customHeight="1">
      <x:c r="O144" s="36"/>
    </x:row>
    <x:row r="145" ht="15.75" customHeight="1">
      <x:c r="O145" s="36"/>
    </x:row>
    <x:row r="146" ht="15.75" customHeight="1">
      <x:c r="O146" s="36"/>
    </x:row>
    <x:row r="147" ht="15.75" customHeight="1">
      <x:c r="O147" s="36"/>
    </x:row>
    <x:row r="148" ht="15.75" customHeight="1">
      <x:c r="O148" s="36"/>
    </x:row>
    <x:row r="149" ht="15.75" customHeight="1">
      <x:c r="O149" s="36"/>
    </x:row>
    <x:row r="150" ht="15.75" customHeight="1">
      <x:c r="O150" s="36"/>
    </x:row>
    <x:row r="151" ht="15.75" customHeight="1">
      <x:c r="O151" s="36"/>
    </x:row>
    <x:row r="152" ht="15.75" customHeight="1">
      <x:c r="O152" s="36"/>
    </x:row>
    <x:row r="153" ht="15.75" customHeight="1">
      <x:c r="O153" s="36"/>
    </x:row>
    <x:row r="154" ht="15.75" customHeight="1">
      <x:c r="O154" s="36"/>
    </x:row>
    <x:row r="155" ht="15.75" customHeight="1">
      <x:c r="O155" s="36"/>
    </x:row>
    <x:row r="156" ht="15.75" customHeight="1">
      <x:c r="O156" s="36"/>
    </x:row>
    <x:row r="157" ht="15.75" customHeight="1">
      <x:c r="O157" s="36"/>
    </x:row>
    <x:row r="158" ht="15.75" customHeight="1">
      <x:c r="O158" s="36"/>
    </x:row>
    <x:row r="159" ht="15.75" customHeight="1">
      <x:c r="O159" s="36"/>
    </x:row>
    <x:row r="160" ht="15.75" customHeight="1">
      <x:c r="O160" s="36"/>
    </x:row>
    <x:row r="161" ht="15.75" customHeight="1">
      <x:c r="O161" s="36"/>
    </x:row>
    <x:row r="162" ht="15.75" customHeight="1">
      <x:c r="O162" s="36"/>
    </x:row>
    <x:row r="163" ht="15.75" customHeight="1">
      <x:c r="O163" s="36"/>
    </x:row>
    <x:row r="164" ht="15.75" customHeight="1">
      <x:c r="O164" s="36"/>
    </x:row>
    <x:row r="165" ht="15.75" customHeight="1">
      <x:c r="O165" s="36"/>
    </x:row>
    <x:row r="166" ht="15.75" customHeight="1">
      <x:c r="O166" s="36"/>
    </x:row>
    <x:row r="167" ht="15.75" customHeight="1">
      <x:c r="O167" s="36"/>
    </x:row>
    <x:row r="168" ht="15.75" customHeight="1">
      <x:c r="O168" s="36"/>
    </x:row>
    <x:row r="169" ht="15.75" customHeight="1">
      <x:c r="O169" s="36"/>
    </x:row>
    <x:row r="170" ht="15.75" customHeight="1">
      <x:c r="O170" s="36"/>
    </x:row>
    <x:row r="171" ht="15.75" customHeight="1">
      <x:c r="O171" s="36"/>
    </x:row>
    <x:row r="172" ht="15.75" customHeight="1">
      <x:c r="O172" s="36"/>
    </x:row>
    <x:row r="173" ht="15.75" customHeight="1">
      <x:c r="O173" s="36"/>
    </x:row>
    <x:row r="174" ht="15.75" customHeight="1">
      <x:c r="O174" s="36"/>
    </x:row>
    <x:row r="175" ht="15.75" customHeight="1">
      <x:c r="O175" s="36"/>
    </x:row>
    <x:row r="176" ht="15.75" customHeight="1">
      <x:c r="O176" s="36"/>
    </x:row>
    <x:row r="177" ht="15.75" customHeight="1">
      <x:c r="O177" s="36"/>
    </x:row>
    <x:row r="178" ht="15.75" customHeight="1">
      <x:c r="O178" s="36"/>
    </x:row>
    <x:row r="179" ht="15.75" customHeight="1">
      <x:c r="O179" s="36"/>
    </x:row>
    <x:row r="180" ht="15.75" customHeight="1">
      <x:c r="O180" s="36"/>
    </x:row>
    <x:row r="181" ht="15.75" customHeight="1">
      <x:c r="O181" s="36"/>
    </x:row>
    <x:row r="182" ht="15.75" customHeight="1">
      <x:c r="O182" s="36"/>
    </x:row>
    <x:row r="183" ht="15.75" customHeight="1">
      <x:c r="O183" s="36"/>
    </x:row>
    <x:row r="184" ht="15.75" customHeight="1">
      <x:c r="O184" s="36"/>
    </x:row>
    <x:row r="185" ht="15.75" customHeight="1">
      <x:c r="O185" s="36"/>
    </x:row>
    <x:row r="186" ht="15.75" customHeight="1">
      <x:c r="O186" s="36"/>
    </x:row>
    <x:row r="187" ht="15.75" customHeight="1">
      <x:c r="O187" s="36"/>
    </x:row>
    <x:row r="188" ht="15.75" customHeight="1">
      <x:c r="O188" s="36"/>
    </x:row>
    <x:row r="189" ht="15.75" customHeight="1">
      <x:c r="O189" s="36"/>
    </x:row>
    <x:row r="190" ht="15.75" customHeight="1">
      <x:c r="O190" s="36"/>
    </x:row>
    <x:row r="191" ht="15.75" customHeight="1">
      <x:c r="O191" s="36"/>
    </x:row>
    <x:row r="192" ht="15.75" customHeight="1">
      <x:c r="O192" s="36"/>
    </x:row>
    <x:row r="193" ht="15.75" customHeight="1">
      <x:c r="O193" s="36"/>
    </x:row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</x:sheetData>
  <x:mergeCells>
    <x:mergeCell ref="G15:M15"/>
    <x:mergeCell ref="B2:F2"/>
    <x:mergeCell ref="I2:O2"/>
    <x:mergeCell ref="B4:P4"/>
    <x:mergeCell ref="G5:M5"/>
    <x:mergeCell ref="B6:O6"/>
    <x:mergeCell ref="G7:M7"/>
    <x:mergeCell ref="G8:M8"/>
    <x:mergeCell ref="G9:M9"/>
    <x:mergeCell ref="G10:M10"/>
    <x:mergeCell ref="G11:M11"/>
    <x:mergeCell ref="B14:O14"/>
    <x:mergeCell ref="B30:O30"/>
    <x:mergeCell ref="G16:M16"/>
    <x:mergeCell ref="G17:M17"/>
    <x:mergeCell ref="G18:M18"/>
    <x:mergeCell ref="G19:M19"/>
    <x:mergeCell ref="G21:N21"/>
    <x:mergeCell ref="B22:O22"/>
    <x:mergeCell ref="G23:M23"/>
    <x:mergeCell ref="G24:M24"/>
    <x:mergeCell ref="G25:M25"/>
    <x:mergeCell ref="G26:M26"/>
    <x:mergeCell ref="G27:M27"/>
    <x:mergeCell ref="B46:O46"/>
    <x:mergeCell ref="G31:M31"/>
    <x:mergeCell ref="G32:M32"/>
    <x:mergeCell ref="G33:M33"/>
    <x:mergeCell ref="G34:M34"/>
    <x:mergeCell ref="G35:M35"/>
    <x:mergeCell ref="B38:O38"/>
    <x:mergeCell ref="G39:M39"/>
    <x:mergeCell ref="G40:M40"/>
    <x:mergeCell ref="G41:M41"/>
    <x:mergeCell ref="G42:M42"/>
    <x:mergeCell ref="G43:M43"/>
    <x:mergeCell ref="B62:O62"/>
    <x:mergeCell ref="G47:M47"/>
    <x:mergeCell ref="G48:M48"/>
    <x:mergeCell ref="G49:M49"/>
    <x:mergeCell ref="G50:M50"/>
    <x:mergeCell ref="G51:M51"/>
    <x:mergeCell ref="B54:O54"/>
    <x:mergeCell ref="G55:M55"/>
    <x:mergeCell ref="G56:M56"/>
    <x:mergeCell ref="G57:M57"/>
    <x:mergeCell ref="G58:M58"/>
    <x:mergeCell ref="G59:M59"/>
    <x:mergeCell ref="B78:O78"/>
    <x:mergeCell ref="G63:M63"/>
    <x:mergeCell ref="G64:M64"/>
    <x:mergeCell ref="G65:M65"/>
    <x:mergeCell ref="G66:M66"/>
    <x:mergeCell ref="G67:M67"/>
    <x:mergeCell ref="B70:O70"/>
    <x:mergeCell ref="G71:M71"/>
    <x:mergeCell ref="G72:M72"/>
    <x:mergeCell ref="G73:M73"/>
    <x:mergeCell ref="G74:M74"/>
    <x:mergeCell ref="G75:M75"/>
    <x:mergeCell ref="G79:M79"/>
    <x:mergeCell ref="G80:M80"/>
    <x:mergeCell ref="G81:M81"/>
    <x:mergeCell ref="G82:M82"/>
    <x:mergeCell ref="G83:M83"/>
  </x:mergeCells>
  <x:conditionalFormatting sqref="P28:P29 P1:P4 P36:P37 P44:P45 P52:P53 P60:P61 P68:P69 P76:P77 P84:P968 P12:P22 P6:P6">
    <x:cfRule type="cellIs" dxfId="54" priority="18" operator="equal">
      <x:formula>"미완료"</x:formula>
    </x:cfRule>
  </x:conditionalFormatting>
  <x:conditionalFormatting sqref="P30:P30">
    <x:cfRule type="cellIs" dxfId="53" priority="17" operator="equal">
      <x:formula>"미완료"</x:formula>
    </x:cfRule>
  </x:conditionalFormatting>
  <x:conditionalFormatting sqref="P38:P38">
    <x:cfRule type="cellIs" dxfId="52" priority="16" operator="equal">
      <x:formula>"미완료"</x:formula>
    </x:cfRule>
  </x:conditionalFormatting>
  <x:conditionalFormatting sqref="P46:P46">
    <x:cfRule type="cellIs" dxfId="51" priority="15" operator="equal">
      <x:formula>"미완료"</x:formula>
    </x:cfRule>
  </x:conditionalFormatting>
  <x:conditionalFormatting sqref="P54:P54">
    <x:cfRule type="cellIs" dxfId="50" priority="14" operator="equal">
      <x:formula>"미완료"</x:formula>
    </x:cfRule>
  </x:conditionalFormatting>
  <x:conditionalFormatting sqref="P62:P62">
    <x:cfRule type="cellIs" dxfId="49" priority="13" operator="equal">
      <x:formula>"미완료"</x:formula>
    </x:cfRule>
  </x:conditionalFormatting>
  <x:conditionalFormatting sqref="P70:P70">
    <x:cfRule type="cellIs" dxfId="48" priority="12" operator="equal">
      <x:formula>"미완료"</x:formula>
    </x:cfRule>
  </x:conditionalFormatting>
  <x:conditionalFormatting sqref="P78:P78">
    <x:cfRule type="cellIs" dxfId="47" priority="11" operator="equal">
      <x:formula>"미완료"</x:formula>
    </x:cfRule>
  </x:conditionalFormatting>
  <x:conditionalFormatting sqref="P7:P11">
    <x:cfRule type="cellIs" dxfId="46" priority="10" operator="equal">
      <x:formula>"미완료"</x:formula>
    </x:cfRule>
  </x:conditionalFormatting>
  <x:conditionalFormatting sqref="P23:P27">
    <x:cfRule type="cellIs" dxfId="45" priority="9" operator="equal">
      <x:formula>"미완료"</x:formula>
    </x:cfRule>
  </x:conditionalFormatting>
  <x:conditionalFormatting sqref="P31:P35">
    <x:cfRule type="cellIs" dxfId="44" priority="8" operator="equal">
      <x:formula>"미완료"</x:formula>
    </x:cfRule>
  </x:conditionalFormatting>
  <x:conditionalFormatting sqref="P39:P43">
    <x:cfRule type="cellIs" dxfId="43" priority="7" operator="equal">
      <x:formula>"미완료"</x:formula>
    </x:cfRule>
  </x:conditionalFormatting>
  <x:conditionalFormatting sqref="P47:P51">
    <x:cfRule type="cellIs" dxfId="42" priority="6" operator="equal">
      <x:formula>"미완료"</x:formula>
    </x:cfRule>
  </x:conditionalFormatting>
  <x:conditionalFormatting sqref="P55:P59">
    <x:cfRule type="cellIs" dxfId="41" priority="5" operator="equal">
      <x:formula>"미완료"</x:formula>
    </x:cfRule>
  </x:conditionalFormatting>
  <x:conditionalFormatting sqref="P63:P67">
    <x:cfRule type="cellIs" dxfId="40" priority="4" operator="equal">
      <x:formula>"미완료"</x:formula>
    </x:cfRule>
  </x:conditionalFormatting>
  <x:conditionalFormatting sqref="P71:P75">
    <x:cfRule type="cellIs" dxfId="39" priority="3" operator="equal">
      <x:formula>"미완료"</x:formula>
    </x:cfRule>
  </x:conditionalFormatting>
  <x:conditionalFormatting sqref="P79:P83">
    <x:cfRule type="cellIs" dxfId="38" priority="2" operator="equal">
      <x:formula>"미완료"</x:formula>
    </x:cfRule>
  </x:conditionalFormatting>
  <x:conditionalFormatting sqref="P5:P5">
    <x:cfRule type="cellIs" dxfId="37" priority="1" operator="equal">
      <x:formula>"미완료"</x:formula>
    </x:cfRule>
  </x:conditionalFormatting>
  <x:dataValidations count="4">
    <x:dataValidation type="list" allowBlank="1" sqref="C71:C75 C15:C21 C79:C83 C23:C27 C31:C35 C39:C43 C47:C51 C55:C59 C63:C67 C7:C12">
      <x:formula1>$T$3:$T$6</x:formula1>
    </x:dataValidation>
    <x:dataValidation type="list" allowBlank="1" showErrorMessage="1" sqref="P71:P75 P15:P21 P7:P11 P23:P27 P31:P35 P39:P43 P47:P51 P55:P59 P63:P67 P79:P83">
      <x:formula1>$R$13:$R$14</x:formula1>
    </x:dataValidation>
    <x:dataValidation type="list" allowBlank="1" sqref="B72:B75 B8:B12 B16:B21 B24:B27 B32:B35 B40:B43 B48:B51 B56:B59 B64:B67 B80:B83">
      <x:formula1>$R$3:$R$9</x:formula1>
    </x:dataValidation>
    <x:dataValidation type="list" allowBlank="1" sqref="B71 B79 B15 B23 B31 B39 B47 B55 B63 B7">
      <x:formula1>$R$3:$R$11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00000"/>
  </x:sheetPr>
  <x:sheetViews>
    <x:sheetView showGridLines="0" workbookViewId="0"/>
  </x:sheetViews>
  <x:sheetFormatPr defaultColWidth="14.42578125" defaultRowHeight="15"/>
  <x:cols>
    <x:col min="1" max="1" width="4.85546875" style="36" customWidth="1"/>
    <x:col min="2" max="2" width="17.28515625" customWidth="1"/>
    <x:col min="3" max="6" width="15.140625" customWidth="1"/>
    <x:col min="7" max="14" width="19.140625" customWidth="1"/>
    <x:col min="15" max="15" width="23.140625" customWidth="1"/>
    <x:col min="16" max="16" width="10.42578125" customWidth="1"/>
    <x:col min="17" max="17" width="3.28515625" customWidth="1"/>
    <x:col min="18" max="18" width="17.140625" customWidth="1"/>
    <x:col min="19" max="19" width="3.28515625" customWidth="1"/>
    <x:col min="20" max="20" width="17.140625" customWidth="1"/>
    <x:col min="21" max="21" width="3.28515625" customWidth="1"/>
  </x:cols>
  <x:sheetData>
    <x:row r="1" ht="21" customHeight="1">
      <x:c r="A1" s="101"/>
      <x:c r="B1" s="1"/>
      <x:c r="C1" s="2"/>
      <x:c r="D1" s="3"/>
      <x:c r="E1" s="3"/>
      <x:c r="F1" s="4"/>
      <x:c r="G1" s="2"/>
      <x:c r="H1" s="2"/>
      <x:c r="I1" s="5"/>
      <x:c r="J1" s="6"/>
      <x:c r="K1" s="7"/>
      <x:c r="L1" s="6"/>
      <x:c r="M1" s="6"/>
      <x:c r="N1" s="6"/>
      <x:c r="O1" s="5"/>
      <x:c r="P1" s="9"/>
      <x:c r="Q1" s="8"/>
      <x:c r="R1" s="8"/>
      <x:c r="S1" s="8"/>
      <x:c r="T1" s="8"/>
      <x:c r="U1" s="8"/>
    </x:row>
    <x:row r="2" ht="24.75" customHeight="1">
      <x:c r="A2" s="101"/>
      <x:c r="B2" s="214" t="s">
        <x:v>81</x:v>
      </x:c>
      <x:c r="C2" s="215"/>
      <x:c r="D2" s="215"/>
      <x:c r="E2" s="215"/>
      <x:c r="F2" s="216"/>
      <x:c r="G2" s="10"/>
      <x:c r="H2" s="11" t="s">
        <x:v>1</x:v>
      </x:c>
      <x:c r="I2" s="230" t="s">
        <x:v>2</x:v>
      </x:c>
      <x:c r="J2" s="230"/>
      <x:c r="K2" s="230"/>
      <x:c r="L2" s="230"/>
      <x:c r="M2" s="230"/>
      <x:c r="N2" s="230"/>
      <x:c r="O2" s="230"/>
      <x:c r="Q2" s="12"/>
      <x:c r="R2" s="13" t="s">
        <x:v>3</x:v>
      </x:c>
      <x:c r="S2" s="13"/>
      <x:c r="T2" s="13" t="s">
        <x:v>4</x:v>
      </x:c>
      <x:c r="U2" s="12"/>
    </x:row>
    <x:row r="3" ht="21" customHeight="1">
      <x:c r="A3" s="101"/>
      <x:c r="B3" s="14"/>
      <x:c r="C3" s="14"/>
      <x:c r="D3" s="15"/>
      <x:c r="E3" s="15"/>
      <x:c r="F3" s="16"/>
      <x:c r="G3" s="17"/>
      <x:c r="H3" s="18"/>
      <x:c r="I3" s="19"/>
      <x:c r="J3" s="19"/>
      <x:c r="K3" s="19"/>
      <x:c r="L3" s="20"/>
      <x:c r="M3" s="20"/>
      <x:c r="N3" s="20"/>
      <x:c r="O3" s="39"/>
      <x:c r="P3" s="20"/>
      <x:c r="Q3" s="21"/>
      <x:c r="R3" s="22" t="s">
        <x:v>5</x:v>
      </x:c>
      <x:c r="S3" s="23"/>
      <x:c r="T3" s="22" t="s">
        <x:v>6</x:v>
      </x:c>
      <x:c r="U3" s="21"/>
    </x:row>
    <x:row r="4" ht="21" customHeight="1">
      <x:c r="A4" s="101"/>
      <x:c r="B4" s="218" t="s">
        <x:v>7</x:v>
      </x:c>
      <x:c r="C4" s="219"/>
      <x:c r="D4" s="219"/>
      <x:c r="E4" s="219"/>
      <x:c r="F4" s="219"/>
      <x:c r="G4" s="219"/>
      <x:c r="H4" s="219"/>
      <x:c r="I4" s="219"/>
      <x:c r="J4" s="219"/>
      <x:c r="K4" s="219"/>
      <x:c r="L4" s="219"/>
      <x:c r="M4" s="219"/>
      <x:c r="N4" s="219"/>
      <x:c r="O4" s="219"/>
      <x:c r="P4" s="220"/>
      <x:c r="Q4" s="21"/>
      <x:c r="R4" s="22" t="s">
        <x:v>8</x:v>
      </x:c>
      <x:c r="S4" s="23"/>
      <x:c r="T4" s="22" t="s">
        <x:v>9</x:v>
      </x:c>
      <x:c r="U4" s="21"/>
    </x:row>
    <x:row r="5" ht="21" customHeight="1">
      <x:c r="A5" s="101"/>
      <x:c r="B5" s="40" t="s">
        <x:v>10</x:v>
      </x:c>
      <x:c r="C5" s="41" t="s">
        <x:v>11</x:v>
      </x:c>
      <x:c r="D5" s="41" t="s">
        <x:v>12</x:v>
      </x:c>
      <x:c r="E5" s="40" t="s">
        <x:v>13</x:v>
      </x:c>
      <x:c r="F5" s="40" t="s">
        <x:v>14</x:v>
      </x:c>
      <x:c r="G5" s="223" t="s">
        <x:v>15</x:v>
      </x:c>
      <x:c r="H5" s="223"/>
      <x:c r="I5" s="223"/>
      <x:c r="J5" s="223"/>
      <x:c r="K5" s="223"/>
      <x:c r="L5" s="223"/>
      <x:c r="M5" s="223"/>
      <x:c r="N5" s="114" t="s">
        <x:v>16</x:v>
      </x:c>
      <x:c r="O5" s="41" t="s">
        <x:v>17</x:v>
      </x:c>
      <x:c r="P5" s="40" t="s">
        <x:v>18</x:v>
      </x:c>
      <x:c r="Q5" s="21"/>
      <x:c r="R5" s="22" t="s">
        <x:v>19</x:v>
      </x:c>
      <x:c r="S5" s="23"/>
      <x:c r="T5" s="22" t="s">
        <x:v>20</x:v>
      </x:c>
      <x:c r="U5" s="21"/>
    </x:row>
    <x:row r="6" ht="30" customHeight="1">
      <x:c r="A6" s="104">
        <x:v>1</x:v>
      </x:c>
      <x:c r="B6" s="221" t="s">
        <x:v>82</x:v>
      </x:c>
      <x:c r="C6" s="222"/>
      <x:c r="D6" s="222"/>
      <x:c r="E6" s="222"/>
      <x:c r="F6" s="222"/>
      <x:c r="G6" s="222"/>
      <x:c r="H6" s="222"/>
      <x:c r="I6" s="222"/>
      <x:c r="J6" s="222"/>
      <x:c r="K6" s="222"/>
      <x:c r="L6" s="222"/>
      <x:c r="M6" s="222"/>
      <x:c r="N6" s="222"/>
      <x:c r="O6" s="222"/>
      <x:c r="P6" s="81"/>
      <x:c r="Q6" s="21"/>
      <x:c r="R6" s="25" t="s">
        <x:v>22</x:v>
      </x:c>
      <x:c r="S6" s="23"/>
      <x:c r="T6" s="22"/>
      <x:c r="U6" s="21"/>
    </x:row>
    <x:row r="7" ht="15.949999809265137" customHeight="1">
      <x:c r="A7" s="42"/>
      <x:c r="B7" s="26" t="s">
        <x:v>23</x:v>
      </x:c>
      <x:c r="C7" s="26" t="s">
        <x:v>20</x:v>
      </x:c>
      <x:c r="D7" s="28">
        <x:v>46140</x:v>
      </x:c>
      <x:c r="E7" s="28">
        <x:v>46141</x:v>
      </x:c>
      <x:c r="F7" s="84" t="n">
        <x:f>DAYS360(D7,E7)</x:f>
        <x:v>1</x:v>
      </x:c>
      <x:c r="G7" s="224"/>
      <x:c r="H7" s="225"/>
      <x:c r="I7" s="225"/>
      <x:c r="J7" s="225"/>
      <x:c r="K7" s="225"/>
      <x:c r="L7" s="225"/>
      <x:c r="M7" s="225"/>
      <x:c r="N7" s="117"/>
      <x:c r="O7" s="85"/>
      <x:c r="P7" s="85"/>
      <x:c r="Q7" s="27"/>
      <x:c r="R7" s="25" t="s">
        <x:v>24</x:v>
      </x:c>
      <x:c r="S7" s="27"/>
      <x:c r="T7" s="27"/>
      <x:c r="U7" s="27"/>
    </x:row>
    <x:row r="8" ht="15.949999809265137" customHeight="1">
      <x:c r="A8" s="102"/>
      <x:c r="B8" s="82"/>
      <x:c r="C8" s="82"/>
      <x:c r="D8" s="83"/>
      <x:c r="E8" s="83"/>
      <x:c r="F8" s="84" t="e">
        <x:f t="shared" ref="F8:F11" si="0">DAYS360(D8,E8)</x:f>
      </x:c>
      <x:c r="G8" s="224"/>
      <x:c r="H8" s="225"/>
      <x:c r="I8" s="225"/>
      <x:c r="J8" s="225"/>
      <x:c r="K8" s="225"/>
      <x:c r="L8" s="225"/>
      <x:c r="M8" s="225"/>
      <x:c r="N8" s="117"/>
      <x:c r="O8" s="85"/>
      <x:c r="P8" s="85"/>
      <x:c r="Q8" s="30"/>
      <x:c r="R8" s="25"/>
      <x:c r="S8" s="30"/>
      <x:c r="T8" s="30"/>
      <x:c r="U8" s="30"/>
    </x:row>
    <x:row r="9" ht="15.949999809265137" customHeight="1">
      <x:c r="A9" s="102"/>
      <x:c r="B9" s="82"/>
      <x:c r="C9" s="82"/>
      <x:c r="D9" s="83"/>
      <x:c r="E9" s="93"/>
      <x:c r="F9" s="84">
        <x:f t="shared" si="0"/>
        <x:v>0</x:v>
      </x:c>
      <x:c r="G9" s="224"/>
      <x:c r="H9" s="225"/>
      <x:c r="I9" s="225"/>
      <x:c r="J9" s="225"/>
      <x:c r="K9" s="225"/>
      <x:c r="L9" s="225"/>
      <x:c r="M9" s="225"/>
      <x:c r="N9" s="117"/>
      <x:c r="O9" s="85"/>
      <x:c r="P9" s="85"/>
      <x:c r="Q9" s="30"/>
      <x:c r="R9" s="25"/>
      <x:c r="S9" s="30"/>
      <x:c r="T9" s="30"/>
      <x:c r="U9" s="30"/>
    </x:row>
    <x:row r="10" ht="15.949999809265137" customHeight="1">
      <x:c r="A10" s="103"/>
      <x:c r="B10" s="82"/>
      <x:c r="C10" s="82"/>
      <x:c r="D10" s="83"/>
      <x:c r="E10" s="93"/>
      <x:c r="F10" s="84">
        <x:f t="shared" si="0"/>
        <x:v>0</x:v>
      </x:c>
      <x:c r="G10" s="224"/>
      <x:c r="H10" s="225"/>
      <x:c r="I10" s="225"/>
      <x:c r="J10" s="225"/>
      <x:c r="K10" s="225"/>
      <x:c r="L10" s="225"/>
      <x:c r="M10" s="225"/>
      <x:c r="N10" s="117"/>
      <x:c r="O10" s="85"/>
      <x:c r="P10" s="85"/>
      <x:c r="Q10" s="30"/>
      <x:c r="R10" s="30"/>
      <x:c r="S10" s="30"/>
      <x:c r="T10" s="30"/>
      <x:c r="U10" s="30"/>
    </x:row>
    <x:row r="11" ht="15.949999809265137" customHeight="1">
      <x:c r="A11" s="103"/>
      <x:c r="B11" s="82"/>
      <x:c r="C11" s="82"/>
      <x:c r="D11" s="83"/>
      <x:c r="E11" s="83"/>
      <x:c r="F11" s="84">
        <x:f t="shared" si="0"/>
        <x:v>0</x:v>
      </x:c>
      <x:c r="G11" s="224"/>
      <x:c r="H11" s="225"/>
      <x:c r="I11" s="225"/>
      <x:c r="J11" s="225"/>
      <x:c r="K11" s="225"/>
      <x:c r="L11" s="225"/>
      <x:c r="M11" s="225"/>
      <x:c r="N11" s="117"/>
      <x:c r="O11" s="85"/>
      <x:c r="P11" s="85"/>
      <x:c r="Q11" s="30"/>
      <x:c r="R11" s="13" t="s">
        <x:v>25</x:v>
      </x:c>
      <x:c r="S11" s="30"/>
      <x:c r="T11" s="30"/>
      <x:c r="U11" s="30"/>
    </x:row>
    <x:row r="12" ht="21" customHeight="1">
      <x:c r="A12" s="103"/>
      <x:c r="B12" s="107"/>
      <x:c r="C12" s="107"/>
      <x:c r="D12" s="108"/>
      <x:c r="E12" s="108"/>
      <x:c r="F12" s="109"/>
      <x:c r="G12" s="107"/>
      <x:c r="H12" s="110"/>
      <x:c r="I12" s="110"/>
      <x:c r="J12" s="110"/>
      <x:c r="K12" s="110"/>
      <x:c r="L12" s="110"/>
      <x:c r="M12" s="110"/>
      <x:c r="N12" s="110" t="n">
        <x:f>SUM(N7:N11)</x:f>
        <x:v>0</x:v>
      </x:c>
      <x:c r="O12" s="107"/>
      <x:c r="P12" s="111"/>
      <x:c r="Q12" s="112"/>
      <x:c r="R12" s="113"/>
      <x:c r="S12" s="112"/>
      <x:c r="T12" s="112"/>
      <x:c r="U12" s="112"/>
    </x:row>
    <x:row r="13" ht="21" customHeight="1">
      <x:c r="A13" s="75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49"/>
      <x:c r="Q13" s="30"/>
      <x:c r="R13" s="25" t="s">
        <x:v>26</x:v>
      </x:c>
      <x:c r="S13" s="30"/>
      <x:c r="T13" s="30"/>
      <x:c r="U13" s="30"/>
    </x:row>
    <x:row r="14" ht="26.25">
      <x:c r="A14" s="104">
        <x:v>2</x:v>
      </x:c>
      <x:c r="B14" s="221" t="s">
        <x:v>83</x:v>
      </x:c>
      <x:c r="C14" s="222"/>
      <x:c r="D14" s="222"/>
      <x:c r="E14" s="222"/>
      <x:c r="F14" s="222"/>
      <x:c r="G14" s="222"/>
      <x:c r="H14" s="222"/>
      <x:c r="I14" s="222"/>
      <x:c r="J14" s="222"/>
      <x:c r="K14" s="222"/>
      <x:c r="L14" s="222"/>
      <x:c r="M14" s="222"/>
      <x:c r="N14" s="222"/>
      <x:c r="O14" s="222"/>
      <x:c r="P14" s="92"/>
      <x:c r="Q14" s="30"/>
      <x:c r="R14" s="25" t="s">
        <x:v>28</x:v>
      </x:c>
      <x:c r="S14" s="30"/>
      <x:c r="T14" s="30"/>
      <x:c r="U14" s="30"/>
    </x:row>
    <x:row r="15" ht="15.949999809265137" customHeight="1">
      <x:c r="A15" s="75"/>
      <x:c r="B15" s="26" t="s">
        <x:v>23</x:v>
      </x:c>
      <x:c r="C15" s="26" t="s">
        <x:v>20</x:v>
      </x:c>
      <x:c r="D15" s="28">
        <x:v>46140</x:v>
      </x:c>
      <x:c r="E15" s="28">
        <x:v>46141</x:v>
      </x:c>
      <x:c r="F15" s="84" t="n">
        <x:f>DAYS360(D15,E15)</x:f>
        <x:v>1</x:v>
      </x:c>
      <x:c r="G15" s="224"/>
      <x:c r="H15" s="225"/>
      <x:c r="I15" s="225"/>
      <x:c r="J15" s="225"/>
      <x:c r="K15" s="225"/>
      <x:c r="L15" s="225"/>
      <x:c r="M15" s="225"/>
      <x:c r="N15" s="117"/>
      <x:c r="O15" s="85"/>
      <x:c r="P15" s="85"/>
      <x:c r="Q15" s="37"/>
      <x:c r="R15" s="25"/>
      <x:c r="S15" s="37"/>
      <x:c r="T15" s="37"/>
      <x:c r="U15" s="37"/>
    </x:row>
    <x:row r="16" ht="15.949999809265137" customHeight="1">
      <x:c r="A16" s="75"/>
      <x:c r="B16" s="82"/>
      <x:c r="C16" s="82"/>
      <x:c r="D16" s="83"/>
      <x:c r="E16" s="83"/>
      <x:c r="F16" s="84" t="e">
        <x:f t="shared" ref="F16:F19" si="1">DAYS360(D16,E16)</x:f>
      </x:c>
      <x:c r="G16" s="224"/>
      <x:c r="H16" s="225"/>
      <x:c r="I16" s="225"/>
      <x:c r="J16" s="225"/>
      <x:c r="K16" s="225"/>
      <x:c r="L16" s="225"/>
      <x:c r="M16" s="225"/>
      <x:c r="N16" s="117"/>
      <x:c r="O16" s="85"/>
      <x:c r="P16" s="85"/>
      <x:c r="Q16" s="38"/>
      <x:c r="R16" s="38"/>
      <x:c r="S16" s="38"/>
      <x:c r="T16" s="38"/>
      <x:c r="U16" s="38"/>
    </x:row>
    <x:row r="17" ht="15.949999809265137" customHeight="1">
      <x:c r="A17" s="75"/>
      <x:c r="B17" s="82"/>
      <x:c r="C17" s="82"/>
      <x:c r="D17" s="83"/>
      <x:c r="E17" s="93"/>
      <x:c r="F17" s="84">
        <x:f t="shared" si="1"/>
        <x:v>0</x:v>
      </x:c>
      <x:c r="G17" s="224"/>
      <x:c r="H17" s="225"/>
      <x:c r="I17" s="225"/>
      <x:c r="J17" s="225"/>
      <x:c r="K17" s="225"/>
      <x:c r="L17" s="225"/>
      <x:c r="M17" s="225"/>
      <x:c r="N17" s="117"/>
      <x:c r="O17" s="85"/>
      <x:c r="P17" s="85"/>
      <x:c r="Q17" s="38"/>
      <x:c r="R17" s="38"/>
      <x:c r="S17" s="38"/>
      <x:c r="T17" s="38"/>
      <x:c r="U17" s="38"/>
    </x:row>
    <x:row r="18" ht="15.949999809265137" customHeight="1">
      <x:c r="A18" s="75"/>
      <x:c r="B18" s="82"/>
      <x:c r="C18" s="82"/>
      <x:c r="D18" s="83"/>
      <x:c r="E18" s="93"/>
      <x:c r="F18" s="84">
        <x:f t="shared" si="1"/>
        <x:v>0</x:v>
      </x:c>
      <x:c r="G18" s="224"/>
      <x:c r="H18" s="225"/>
      <x:c r="I18" s="225"/>
      <x:c r="J18" s="225"/>
      <x:c r="K18" s="225"/>
      <x:c r="L18" s="225"/>
      <x:c r="M18" s="225"/>
      <x:c r="N18" s="117"/>
      <x:c r="O18" s="85"/>
      <x:c r="P18" s="85"/>
      <x:c r="Q18" s="38"/>
      <x:c r="R18" s="38"/>
      <x:c r="S18" s="38"/>
      <x:c r="T18" s="38"/>
      <x:c r="U18" s="38"/>
    </x:row>
    <x:row r="19" ht="15.949999809265137" customHeight="1">
      <x:c r="A19" s="75"/>
      <x:c r="B19" s="82"/>
      <x:c r="C19" s="82"/>
      <x:c r="D19" s="83"/>
      <x:c r="E19" s="83"/>
      <x:c r="F19" s="84">
        <x:f t="shared" si="1"/>
        <x:v>0</x:v>
      </x:c>
      <x:c r="G19" s="224"/>
      <x:c r="H19" s="225"/>
      <x:c r="I19" s="225"/>
      <x:c r="J19" s="225"/>
      <x:c r="K19" s="225"/>
      <x:c r="L19" s="225"/>
      <x:c r="M19" s="225"/>
      <x:c r="N19" s="117"/>
      <x:c r="O19" s="85"/>
      <x:c r="P19" s="85"/>
      <x:c r="Q19" s="38"/>
      <x:c r="R19" s="38"/>
      <x:c r="S19" s="38"/>
      <x:c r="T19" s="38"/>
      <x:c r="U19" s="38"/>
    </x:row>
    <x:row r="20" ht="21" customHeight="1">
      <x:c r="A20" s="75"/>
      <x:c r="B20" s="43"/>
      <x:c r="C20" s="43"/>
      <x:c r="D20" s="44"/>
      <x:c r="E20" s="44"/>
      <x:c r="F20" s="36"/>
      <x:c r="G20" s="130"/>
      <x:c r="H20" s="130"/>
      <x:c r="I20" s="130"/>
      <x:c r="J20" s="130"/>
      <x:c r="K20" s="130"/>
      <x:c r="L20" s="130"/>
      <x:c r="M20" s="130"/>
      <x:c r="N20" s="131" t="n">
        <x:f>SUM(N15:N19)</x:f>
        <x:v>0</x:v>
      </x:c>
      <x:c r="O20" s="47"/>
      <x:c r="P20" s="47"/>
      <x:c r="Q20" s="38"/>
      <x:c r="R20" s="38"/>
      <x:c r="S20" s="38"/>
      <x:c r="T20" s="38"/>
      <x:c r="U20" s="38"/>
    </x:row>
    <x:row r="21" ht="21" customHeight="1">
      <x:c r="A21" s="75"/>
      <x:c r="B21" s="32"/>
      <x:c r="C21" s="32"/>
      <x:c r="D21" s="33"/>
      <x:c r="E21" s="33"/>
      <x:c r="F21" s="34"/>
      <x:c r="G21" s="226"/>
      <x:c r="H21" s="226"/>
      <x:c r="I21" s="226"/>
      <x:c r="J21" s="226"/>
      <x:c r="K21" s="226"/>
      <x:c r="L21" s="226"/>
      <x:c r="M21" s="226"/>
      <x:c r="N21" s="226"/>
      <x:c r="O21" s="32"/>
      <x:c r="P21" s="47"/>
      <x:c r="Q21" s="38"/>
      <x:c r="R21" s="38"/>
      <x:c r="S21" s="38"/>
      <x:c r="T21" s="38"/>
      <x:c r="U21" s="38"/>
    </x:row>
    <x:row r="22" ht="26.25">
      <x:c r="A22" s="105">
        <x:v>3</x:v>
      </x:c>
      <x:c r="B22" s="221" t="s">
        <x:v>84</x:v>
      </x:c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49"/>
      <x:c r="Q22" s="38"/>
      <x:c r="R22" s="38"/>
      <x:c r="S22" s="38"/>
      <x:c r="T22" s="38"/>
      <x:c r="U22" s="38"/>
    </x:row>
    <x:row r="23" ht="15.949999809265137" customHeight="1">
      <x:c r="A23" s="75"/>
      <x:c r="B23" s="26" t="s">
        <x:v>23</x:v>
      </x:c>
      <x:c r="C23" s="26" t="s">
        <x:v>9</x:v>
      </x:c>
      <x:c r="D23" s="28">
        <x:v>46135</x:v>
      </x:c>
      <x:c r="E23" s="28">
        <x:v>46136</x:v>
      </x:c>
      <x:c r="F23" s="84" t="n">
        <x:f>DAYS360(D23,E23)</x:f>
        <x:v>1</x:v>
      </x:c>
      <x:c r="G23" s="228"/>
      <x:c r="H23" s="229"/>
      <x:c r="I23" s="229"/>
      <x:c r="J23" s="229"/>
      <x:c r="K23" s="229"/>
      <x:c r="L23" s="229"/>
      <x:c r="M23" s="229"/>
      <x:c r="N23" s="118"/>
      <x:c r="O23" s="85"/>
      <x:c r="P23" s="85"/>
      <x:c r="Q23" s="38"/>
      <x:c r="R23" s="38"/>
      <x:c r="S23" s="38"/>
      <x:c r="T23" s="38"/>
      <x:c r="U23" s="38"/>
    </x:row>
    <x:row r="24" ht="15.949999809265137" customHeight="1">
      <x:c r="A24" s="75"/>
      <x:c r="B24" s="82"/>
      <x:c r="C24" s="82"/>
      <x:c r="D24" s="83"/>
      <x:c r="E24" s="83"/>
      <x:c r="F24" s="84" t="e">
        <x:f t="shared" ref="F24:F27" si="2">DAYS360(D24,E24)</x:f>
      </x:c>
      <x:c r="G24" s="224"/>
      <x:c r="H24" s="225"/>
      <x:c r="I24" s="225"/>
      <x:c r="J24" s="225"/>
      <x:c r="K24" s="225"/>
      <x:c r="L24" s="225"/>
      <x:c r="M24" s="225"/>
      <x:c r="N24" s="117"/>
      <x:c r="O24" s="85"/>
      <x:c r="P24" s="85"/>
      <x:c r="Q24" s="38"/>
      <x:c r="R24" s="38"/>
      <x:c r="S24" s="38"/>
      <x:c r="T24" s="38"/>
      <x:c r="U24" s="38"/>
    </x:row>
    <x:row r="25" ht="15.949999809265137" customHeight="1">
      <x:c r="A25" s="75"/>
      <x:c r="B25" s="82"/>
      <x:c r="C25" s="82"/>
      <x:c r="D25" s="83"/>
      <x:c r="E25" s="83"/>
      <x:c r="F25" s="84">
        <x:f t="shared" si="2"/>
        <x:v>0</x:v>
      </x:c>
      <x:c r="G25" s="224"/>
      <x:c r="H25" s="225"/>
      <x:c r="I25" s="225"/>
      <x:c r="J25" s="225"/>
      <x:c r="K25" s="225"/>
      <x:c r="L25" s="225"/>
      <x:c r="M25" s="225"/>
      <x:c r="N25" s="117"/>
      <x:c r="O25" s="85"/>
      <x:c r="P25" s="85"/>
      <x:c r="Q25" s="106"/>
      <x:c r="R25" s="106"/>
      <x:c r="S25" s="106"/>
      <x:c r="T25" s="106"/>
      <x:c r="U25" s="106"/>
    </x:row>
    <x:row r="26" ht="15.949999809265137" customHeight="1">
      <x:c r="A26" s="75"/>
      <x:c r="B26" s="82"/>
      <x:c r="C26" s="82"/>
      <x:c r="D26" s="83"/>
      <x:c r="E26" s="93"/>
      <x:c r="F26" s="84">
        <x:f t="shared" si="2"/>
        <x:v>0</x:v>
      </x:c>
      <x:c r="G26" s="224"/>
      <x:c r="H26" s="225"/>
      <x:c r="I26" s="225"/>
      <x:c r="J26" s="225"/>
      <x:c r="K26" s="225"/>
      <x:c r="L26" s="225"/>
      <x:c r="M26" s="225"/>
      <x:c r="N26" s="117"/>
      <x:c r="O26" s="85"/>
      <x:c r="P26" s="85"/>
      <x:c r="Q26" s="38"/>
      <x:c r="R26" s="38"/>
      <x:c r="S26" s="38"/>
      <x:c r="T26" s="38"/>
      <x:c r="U26" s="38"/>
    </x:row>
    <x:row r="27" ht="15.949999809265137" customHeight="1">
      <x:c r="A27" s="75"/>
      <x:c r="B27" s="82"/>
      <x:c r="C27" s="82"/>
      <x:c r="D27" s="83"/>
      <x:c r="E27" s="93"/>
      <x:c r="F27" s="84">
        <x:f t="shared" si="2"/>
        <x:v>0</x:v>
      </x:c>
      <x:c r="G27" s="224"/>
      <x:c r="H27" s="225"/>
      <x:c r="I27" s="225"/>
      <x:c r="J27" s="225"/>
      <x:c r="K27" s="225"/>
      <x:c r="L27" s="225"/>
      <x:c r="M27" s="225"/>
      <x:c r="N27" s="117"/>
      <x:c r="O27" s="85"/>
      <x:c r="P27" s="85"/>
      <x:c r="Q27" s="38"/>
      <x:c r="R27" s="38"/>
      <x:c r="S27" s="38"/>
      <x:c r="T27" s="38"/>
      <x:c r="U27" s="38"/>
    </x:row>
    <x:row r="28" ht="21" customHeight="1">
      <x:c r="N28" s="131" t="n">
        <x:f>SUM(N23:N27)</x:f>
        <x:v>0</x:v>
      </x:c>
      <x:c r="O28" s="36"/>
    </x:row>
    <x:row r="29" ht="21" customHeight="1">
      <x:c r="O29" s="36"/>
    </x:row>
    <x:row r="30" ht="26.100000381469727" customHeight="1">
      <x:c r="A30" s="105">
        <x:v>4</x:v>
      </x:c>
      <x:c r="B30" s="221" t="s">
        <x:v>85</x:v>
      </x:c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49"/>
    </x:row>
    <x:row r="31" ht="15.949999809265137" customHeight="1">
      <x:c r="A31" s="75"/>
      <x:c r="B31" s="26" t="s">
        <x:v>23</x:v>
      </x:c>
      <x:c r="C31" s="26" t="s">
        <x:v>9</x:v>
      </x:c>
      <x:c r="D31" s="28">
        <x:v>46135</x:v>
      </x:c>
      <x:c r="E31" s="28">
        <x:v>46136</x:v>
      </x:c>
      <x:c r="F31" s="84" t="n">
        <x:f>DAYS360(D31,E31)</x:f>
        <x:v>1</x:v>
      </x:c>
      <x:c r="G31" s="228" t="s">
        <x:v>86</x:v>
      </x:c>
      <x:c r="H31" s="229"/>
      <x:c r="I31" s="229"/>
      <x:c r="J31" s="229"/>
      <x:c r="K31" s="229"/>
      <x:c r="L31" s="229"/>
      <x:c r="M31" s="229"/>
      <x:c r="N31" s="118">
        <x:v>2090000</x:v>
      </x:c>
      <x:c r="O31" s="85" t="s">
        <x:v>52</x:v>
      </x:c>
      <x:c r="P31" s="85" t="s">
        <x:v>26</x:v>
      </x:c>
    </x:row>
    <x:row r="32" ht="15.949999809265137" customHeight="1">
      <x:c r="A32" s="75"/>
      <x:c r="B32" s="82"/>
      <x:c r="C32" s="82"/>
      <x:c r="D32" s="83"/>
      <x:c r="E32" s="83"/>
      <x:c r="F32" s="84" t="e">
        <x:f t="shared" ref="F32:F35" si="3">DAYS360(D32,E32)</x:f>
      </x:c>
      <x:c r="G32" s="224"/>
      <x:c r="H32" s="225"/>
      <x:c r="I32" s="225"/>
      <x:c r="J32" s="225"/>
      <x:c r="K32" s="225"/>
      <x:c r="L32" s="225"/>
      <x:c r="M32" s="225"/>
      <x:c r="N32" s="117"/>
      <x:c r="O32" s="85"/>
      <x:c r="P32" s="85"/>
    </x:row>
    <x:row r="33" ht="15.949999809265137" customHeight="1">
      <x:c r="A33" s="75"/>
      <x:c r="B33" s="82"/>
      <x:c r="C33" s="82"/>
      <x:c r="D33" s="83"/>
      <x:c r="E33" s="83"/>
      <x:c r="F33" s="84">
        <x:f t="shared" si="3"/>
        <x:v>0</x:v>
      </x:c>
      <x:c r="G33" s="224"/>
      <x:c r="H33" s="225"/>
      <x:c r="I33" s="225"/>
      <x:c r="J33" s="225"/>
      <x:c r="K33" s="225"/>
      <x:c r="L33" s="225"/>
      <x:c r="M33" s="225"/>
      <x:c r="N33" s="117"/>
      <x:c r="O33" s="85"/>
      <x:c r="P33" s="85"/>
    </x:row>
    <x:row r="34" ht="15.949999809265137" customHeight="1">
      <x:c r="A34" s="75"/>
      <x:c r="B34" s="82"/>
      <x:c r="C34" s="82"/>
      <x:c r="D34" s="83"/>
      <x:c r="E34" s="93"/>
      <x:c r="F34" s="84">
        <x:f t="shared" si="3"/>
        <x:v>0</x:v>
      </x:c>
      <x:c r="G34" s="224"/>
      <x:c r="H34" s="225"/>
      <x:c r="I34" s="225"/>
      <x:c r="J34" s="225"/>
      <x:c r="K34" s="225"/>
      <x:c r="L34" s="225"/>
      <x:c r="M34" s="225"/>
      <x:c r="N34" s="117"/>
      <x:c r="O34" s="85"/>
      <x:c r="P34" s="85"/>
    </x:row>
    <x:row r="35" ht="15.949999809265137" customHeight="1">
      <x:c r="A35" s="75"/>
      <x:c r="B35" s="82"/>
      <x:c r="C35" s="82"/>
      <x:c r="D35" s="83"/>
      <x:c r="E35" s="93"/>
      <x:c r="F35" s="84">
        <x:f t="shared" si="3"/>
        <x:v>0</x:v>
      </x:c>
      <x:c r="G35" s="224"/>
      <x:c r="H35" s="225"/>
      <x:c r="I35" s="225"/>
      <x:c r="J35" s="225"/>
      <x:c r="K35" s="225"/>
      <x:c r="L35" s="225"/>
      <x:c r="M35" s="225"/>
      <x:c r="N35" s="117"/>
      <x:c r="O35" s="85"/>
      <x:c r="P35" s="85"/>
    </x:row>
    <x:row r="36" ht="15.75" customHeight="1">
      <x:c r="N36" s="131" t="n">
        <x:f>SUM(N31:N35)</x:f>
        <x:v>2090000</x:v>
      </x:c>
      <x:c r="O36" s="36"/>
    </x:row>
    <x:row r="37" ht="15.75" customHeight="1">
      <x:c r="O37" s="36"/>
    </x:row>
    <x:row r="38" ht="26.100000381469727" customHeight="1">
      <x:c r="A38" s="105">
        <x:v>5</x:v>
      </x:c>
      <x:c r="B38" s="221" t="s">
        <x:v>87</x:v>
      </x:c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49"/>
    </x:row>
    <x:row r="39" ht="15.75" customHeight="1">
      <x:c r="A39" s="75"/>
      <x:c r="B39" s="26" t="s">
        <x:v>23</x:v>
      </x:c>
      <x:c r="C39" s="26" t="s">
        <x:v>20</x:v>
      </x:c>
      <x:c r="D39" s="28">
        <x:v>46140</x:v>
      </x:c>
      <x:c r="E39" s="28">
        <x:v>46141</x:v>
      </x:c>
      <x:c r="F39" s="84" t="n">
        <x:f>DAYS360(D39,E39)</x:f>
        <x:v>1</x:v>
      </x:c>
      <x:c r="G39" s="224"/>
      <x:c r="H39" s="225"/>
      <x:c r="I39" s="225"/>
      <x:c r="J39" s="225"/>
      <x:c r="K39" s="225"/>
      <x:c r="L39" s="225"/>
      <x:c r="M39" s="225"/>
      <x:c r="N39" s="117"/>
      <x:c r="O39" s="85"/>
      <x:c r="P39" s="85"/>
    </x:row>
    <x:row r="40" ht="15.75" customHeight="1">
      <x:c r="A40" s="75"/>
      <x:c r="B40" s="82"/>
      <x:c r="C40" s="82"/>
      <x:c r="D40" s="83"/>
      <x:c r="E40" s="83"/>
      <x:c r="F40" s="84" t="e">
        <x:f t="shared" ref="F40:F43" si="4">DAYS360(D40,E40)</x:f>
      </x:c>
      <x:c r="G40" s="224"/>
      <x:c r="H40" s="225"/>
      <x:c r="I40" s="225"/>
      <x:c r="J40" s="225"/>
      <x:c r="K40" s="225"/>
      <x:c r="L40" s="225"/>
      <x:c r="M40" s="225"/>
      <x:c r="N40" s="117"/>
      <x:c r="O40" s="85"/>
      <x:c r="P40" s="85"/>
    </x:row>
    <x:row r="41" ht="15.75" customHeight="1">
      <x:c r="A41" s="75"/>
      <x:c r="B41" s="82"/>
      <x:c r="C41" s="82"/>
      <x:c r="D41" s="83"/>
      <x:c r="E41" s="83"/>
      <x:c r="F41" s="84">
        <x:f t="shared" si="4"/>
        <x:v>0</x:v>
      </x:c>
      <x:c r="G41" s="224"/>
      <x:c r="H41" s="225"/>
      <x:c r="I41" s="225"/>
      <x:c r="J41" s="225"/>
      <x:c r="K41" s="225"/>
      <x:c r="L41" s="225"/>
      <x:c r="M41" s="225"/>
      <x:c r="N41" s="117"/>
      <x:c r="O41" s="85"/>
      <x:c r="P41" s="85"/>
    </x:row>
    <x:row r="42" ht="15.75" customHeight="1">
      <x:c r="A42" s="75"/>
      <x:c r="B42" s="82"/>
      <x:c r="C42" s="82"/>
      <x:c r="D42" s="83"/>
      <x:c r="E42" s="93"/>
      <x:c r="F42" s="84">
        <x:f t="shared" si="4"/>
        <x:v>0</x:v>
      </x:c>
      <x:c r="G42" s="224"/>
      <x:c r="H42" s="225"/>
      <x:c r="I42" s="225"/>
      <x:c r="J42" s="225"/>
      <x:c r="K42" s="225"/>
      <x:c r="L42" s="225"/>
      <x:c r="M42" s="225"/>
      <x:c r="N42" s="117"/>
      <x:c r="O42" s="85"/>
      <x:c r="P42" s="85"/>
    </x:row>
    <x:row r="43" ht="15.75" customHeight="1">
      <x:c r="A43" s="75"/>
      <x:c r="B43" s="82"/>
      <x:c r="C43" s="82"/>
      <x:c r="D43" s="83"/>
      <x:c r="E43" s="93"/>
      <x:c r="F43" s="84">
        <x:f t="shared" si="4"/>
        <x:v>0</x:v>
      </x:c>
      <x:c r="G43" s="224"/>
      <x:c r="H43" s="225"/>
      <x:c r="I43" s="225"/>
      <x:c r="J43" s="225"/>
      <x:c r="K43" s="225"/>
      <x:c r="L43" s="225"/>
      <x:c r="M43" s="225"/>
      <x:c r="N43" s="117"/>
      <x:c r="O43" s="85"/>
      <x:c r="P43" s="85"/>
    </x:row>
    <x:row r="44" ht="15.75" customHeight="1">
      <x:c r="N44" s="131" t="n">
        <x:f>SUM(N39:N43)</x:f>
        <x:v>0</x:v>
      </x:c>
      <x:c r="O44" s="36"/>
    </x:row>
    <x:row r="45" ht="15.75" customHeight="1">
      <x:c r="O45" s="36"/>
    </x:row>
    <x:row r="46" ht="26.100000381469727" customHeight="1">
      <x:c r="A46" s="105">
        <x:v>6</x:v>
      </x:c>
      <x:c r="B46" s="221" t="s">
        <x:v>88</x:v>
      </x:c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49"/>
    </x:row>
    <x:row r="47" ht="15.75" customHeight="1">
      <x:c r="A47" s="75"/>
      <x:c r="B47" s="26" t="s">
        <x:v>23</x:v>
      </x:c>
      <x:c r="C47" s="26" t="s">
        <x:v>20</x:v>
      </x:c>
      <x:c r="D47" s="28">
        <x:v>46140</x:v>
      </x:c>
      <x:c r="E47" s="28">
        <x:v>46141</x:v>
      </x:c>
      <x:c r="F47" s="84" t="n">
        <x:f>DAYS360(D47,E47)</x:f>
        <x:v>1</x:v>
      </x:c>
      <x:c r="G47" s="224"/>
      <x:c r="H47" s="225"/>
      <x:c r="I47" s="225"/>
      <x:c r="J47" s="225"/>
      <x:c r="K47" s="225"/>
      <x:c r="L47" s="225"/>
      <x:c r="M47" s="225"/>
      <x:c r="N47" s="117"/>
      <x:c r="O47" s="85"/>
      <x:c r="P47" s="85"/>
    </x:row>
    <x:row r="48" ht="15.75" customHeight="1">
      <x:c r="A48" s="75"/>
      <x:c r="B48" s="82"/>
      <x:c r="C48" s="82"/>
      <x:c r="D48" s="83"/>
      <x:c r="E48" s="83"/>
      <x:c r="F48" s="84" t="e">
        <x:f t="shared" ref="F48:F51" si="5">DAYS360(D48,E48)</x:f>
      </x:c>
      <x:c r="G48" s="224"/>
      <x:c r="H48" s="225"/>
      <x:c r="I48" s="225"/>
      <x:c r="J48" s="225"/>
      <x:c r="K48" s="225"/>
      <x:c r="L48" s="225"/>
      <x:c r="M48" s="225"/>
      <x:c r="N48" s="117"/>
      <x:c r="O48" s="85"/>
      <x:c r="P48" s="85"/>
    </x:row>
    <x:row r="49" ht="15.75" customHeight="1">
      <x:c r="A49" s="75"/>
      <x:c r="B49" s="82"/>
      <x:c r="C49" s="82"/>
      <x:c r="D49" s="83"/>
      <x:c r="E49" s="83"/>
      <x:c r="F49" s="84">
        <x:f t="shared" si="5"/>
        <x:v>0</x:v>
      </x:c>
      <x:c r="G49" s="224"/>
      <x:c r="H49" s="225"/>
      <x:c r="I49" s="225"/>
      <x:c r="J49" s="225"/>
      <x:c r="K49" s="225"/>
      <x:c r="L49" s="225"/>
      <x:c r="M49" s="225"/>
      <x:c r="N49" s="117"/>
      <x:c r="O49" s="85"/>
      <x:c r="P49" s="85"/>
    </x:row>
    <x:row r="50" ht="15.75" customHeight="1">
      <x:c r="A50" s="75"/>
      <x:c r="B50" s="82"/>
      <x:c r="C50" s="82"/>
      <x:c r="D50" s="83"/>
      <x:c r="E50" s="93"/>
      <x:c r="F50" s="84">
        <x:f t="shared" si="5"/>
        <x:v>0</x:v>
      </x:c>
      <x:c r="G50" s="224"/>
      <x:c r="H50" s="225"/>
      <x:c r="I50" s="225"/>
      <x:c r="J50" s="225"/>
      <x:c r="K50" s="225"/>
      <x:c r="L50" s="225"/>
      <x:c r="M50" s="225"/>
      <x:c r="N50" s="117"/>
      <x:c r="O50" s="85"/>
      <x:c r="P50" s="85"/>
    </x:row>
    <x:row r="51" ht="15.75" customHeight="1">
      <x:c r="A51" s="75"/>
      <x:c r="B51" s="82"/>
      <x:c r="C51" s="82"/>
      <x:c r="D51" s="83"/>
      <x:c r="E51" s="93"/>
      <x:c r="F51" s="84">
        <x:f t="shared" si="5"/>
        <x:v>0</x:v>
      </x:c>
      <x:c r="G51" s="224"/>
      <x:c r="H51" s="225"/>
      <x:c r="I51" s="225"/>
      <x:c r="J51" s="225"/>
      <x:c r="K51" s="225"/>
      <x:c r="L51" s="225"/>
      <x:c r="M51" s="225"/>
      <x:c r="N51" s="117"/>
      <x:c r="O51" s="85"/>
      <x:c r="P51" s="85"/>
    </x:row>
    <x:row r="52" ht="15.75" customHeight="1">
      <x:c r="N52" s="131" t="n">
        <x:f>SUM(N47:N51)</x:f>
        <x:v>0</x:v>
      </x:c>
      <x:c r="O52" s="36"/>
    </x:row>
    <x:row r="53" ht="15.75" customHeight="1">
      <x:c r="O53" s="36"/>
    </x:row>
    <x:row r="54" ht="26.100000381469727" customHeight="1">
      <x:c r="A54" s="105">
        <x:v>7</x:v>
      </x:c>
      <x:c r="B54" s="221" t="s">
        <x:v>89</x:v>
      </x:c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49"/>
    </x:row>
    <x:row r="55" ht="15.75" customHeight="1">
      <x:c r="A55" s="75"/>
      <x:c r="B55" s="26" t="s">
        <x:v>23</x:v>
      </x:c>
      <x:c r="C55" s="26" t="s">
        <x:v>20</x:v>
      </x:c>
      <x:c r="D55" s="28">
        <x:v>46140</x:v>
      </x:c>
      <x:c r="E55" s="28">
        <x:v>46141</x:v>
      </x:c>
      <x:c r="F55" s="84" t="n">
        <x:f>DAYS360(D55,E55)</x:f>
        <x:v>1</x:v>
      </x:c>
      <x:c r="G55" s="224"/>
      <x:c r="H55" s="225"/>
      <x:c r="I55" s="225"/>
      <x:c r="J55" s="225"/>
      <x:c r="K55" s="225"/>
      <x:c r="L55" s="225"/>
      <x:c r="M55" s="225"/>
      <x:c r="N55" s="117"/>
      <x:c r="O55" s="85"/>
      <x:c r="P55" s="85"/>
    </x:row>
    <x:row r="56" ht="15.75" customHeight="1">
      <x:c r="A56" s="75"/>
      <x:c r="B56" s="82"/>
      <x:c r="C56" s="82"/>
      <x:c r="D56" s="83"/>
      <x:c r="E56" s="83"/>
      <x:c r="F56" s="84" t="e">
        <x:f t="shared" ref="F56:F59" si="6">DAYS360(D56,E56)</x:f>
      </x:c>
      <x:c r="G56" s="224"/>
      <x:c r="H56" s="225"/>
      <x:c r="I56" s="225"/>
      <x:c r="J56" s="225"/>
      <x:c r="K56" s="225"/>
      <x:c r="L56" s="225"/>
      <x:c r="M56" s="225"/>
      <x:c r="N56" s="117"/>
      <x:c r="O56" s="85"/>
      <x:c r="P56" s="85"/>
    </x:row>
    <x:row r="57" ht="15.75" customHeight="1">
      <x:c r="A57" s="75"/>
      <x:c r="B57" s="82"/>
      <x:c r="C57" s="82"/>
      <x:c r="D57" s="83"/>
      <x:c r="E57" s="83"/>
      <x:c r="F57" s="84">
        <x:f t="shared" si="6"/>
        <x:v>0</x:v>
      </x:c>
      <x:c r="G57" s="224"/>
      <x:c r="H57" s="225"/>
      <x:c r="I57" s="225"/>
      <x:c r="J57" s="225"/>
      <x:c r="K57" s="225"/>
      <x:c r="L57" s="225"/>
      <x:c r="M57" s="225"/>
      <x:c r="N57" s="117"/>
      <x:c r="O57" s="85"/>
      <x:c r="P57" s="85"/>
    </x:row>
    <x:row r="58" ht="15.75" customHeight="1">
      <x:c r="A58" s="75"/>
      <x:c r="B58" s="82"/>
      <x:c r="C58" s="82"/>
      <x:c r="D58" s="83"/>
      <x:c r="E58" s="93"/>
      <x:c r="F58" s="84">
        <x:f t="shared" si="6"/>
        <x:v>0</x:v>
      </x:c>
      <x:c r="G58" s="224"/>
      <x:c r="H58" s="225"/>
      <x:c r="I58" s="225"/>
      <x:c r="J58" s="225"/>
      <x:c r="K58" s="225"/>
      <x:c r="L58" s="225"/>
      <x:c r="M58" s="225"/>
      <x:c r="N58" s="117"/>
      <x:c r="O58" s="85"/>
      <x:c r="P58" s="85"/>
    </x:row>
    <x:row r="59" ht="15.75" customHeight="1">
      <x:c r="A59" s="75"/>
      <x:c r="B59" s="82"/>
      <x:c r="C59" s="82"/>
      <x:c r="D59" s="83"/>
      <x:c r="E59" s="93"/>
      <x:c r="F59" s="84">
        <x:f t="shared" si="6"/>
        <x:v>0</x:v>
      </x:c>
      <x:c r="G59" s="224"/>
      <x:c r="H59" s="225"/>
      <x:c r="I59" s="225"/>
      <x:c r="J59" s="225"/>
      <x:c r="K59" s="225"/>
      <x:c r="L59" s="225"/>
      <x:c r="M59" s="225"/>
      <x:c r="N59" s="117"/>
      <x:c r="O59" s="85"/>
      <x:c r="P59" s="85"/>
    </x:row>
    <x:row r="60" s="173" customFormat="1" ht="15.75" customHeight="1">
      <x:c r="A60" s="75"/>
      <x:c r="B60" s="174"/>
      <x:c r="C60" s="174"/>
      <x:c r="D60" s="175"/>
      <x:c r="E60" s="176"/>
      <x:c r="F60" s="177"/>
      <x:c r="G60" s="178"/>
      <x:c r="H60" s="178"/>
      <x:c r="I60" s="178"/>
      <x:c r="J60" s="178"/>
      <x:c r="K60" s="178"/>
      <x:c r="L60" s="178"/>
      <x:c r="M60" s="178"/>
      <x:c r="N60" s="179"/>
      <x:c r="O60" s="180"/>
      <x:c r="P60" s="180"/>
    </x:row>
    <x:row r="61" ht="15.75" customHeight="1">
      <x:c r="N61" s="131" t="n">
        <x:f>SUM(N55:N59)</x:f>
        <x:v>0</x:v>
      </x:c>
      <x:c r="O61" s="36"/>
    </x:row>
    <x:row r="62" s="173" customFormat="1" ht="26.25">
      <x:c r="A62" s="105">
        <x:v>8</x:v>
      </x:c>
      <x:c r="B62" s="221" t="s">
        <x:v>90</x:v>
      </x:c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</x:row>
    <x:row r="63" s="173" customFormat="1" ht="15.75" customHeight="1">
      <x:c r="A63" s="75"/>
      <x:c r="B63" s="26" t="s">
        <x:v>23</x:v>
      </x:c>
      <x:c r="C63" s="26" t="s">
        <x:v>20</x:v>
      </x:c>
      <x:c r="D63" s="28">
        <x:v>46140</x:v>
      </x:c>
      <x:c r="E63" s="28">
        <x:v>46141</x:v>
      </x:c>
      <x:c r="F63" s="84" t="n">
        <x:f>DAYS360(D63,E63)</x:f>
        <x:v>1</x:v>
      </x:c>
      <x:c r="G63" s="224"/>
      <x:c r="H63" s="225"/>
      <x:c r="I63" s="225"/>
      <x:c r="J63" s="225"/>
      <x:c r="K63" s="225"/>
      <x:c r="L63" s="225"/>
      <x:c r="M63" s="225"/>
      <x:c r="N63" s="117"/>
      <x:c r="O63" s="85"/>
    </x:row>
    <x:row r="64" s="173" customFormat="1" ht="15.75" customHeight="1">
      <x:c r="A64" s="75"/>
      <x:c r="B64" s="82"/>
      <x:c r="C64" s="82"/>
      <x:c r="D64" s="83"/>
      <x:c r="E64" s="83"/>
      <x:c r="F64" s="84" t="e">
        <x:f t="shared" ref="F64:F67" si="7">DAYS360(D64,E64)</x:f>
      </x:c>
      <x:c r="G64" s="224"/>
      <x:c r="H64" s="225"/>
      <x:c r="I64" s="225"/>
      <x:c r="J64" s="225"/>
      <x:c r="K64" s="225"/>
      <x:c r="L64" s="225"/>
      <x:c r="M64" s="225"/>
      <x:c r="N64" s="117"/>
      <x:c r="O64" s="85"/>
    </x:row>
    <x:row r="65" s="173" customFormat="1" ht="15.75" customHeight="1">
      <x:c r="A65" s="75"/>
      <x:c r="B65" s="82"/>
      <x:c r="C65" s="82"/>
      <x:c r="D65" s="83"/>
      <x:c r="E65" s="83"/>
      <x:c r="F65" s="84">
        <x:f t="shared" si="7"/>
        <x:v>0</x:v>
      </x:c>
      <x:c r="G65" s="224"/>
      <x:c r="H65" s="225"/>
      <x:c r="I65" s="225"/>
      <x:c r="J65" s="225"/>
      <x:c r="K65" s="225"/>
      <x:c r="L65" s="225"/>
      <x:c r="M65" s="225"/>
      <x:c r="N65" s="117"/>
      <x:c r="O65" s="85"/>
    </x:row>
    <x:row r="66" s="173" customFormat="1" ht="15.75" customHeight="1">
      <x:c r="A66" s="75"/>
      <x:c r="B66" s="82"/>
      <x:c r="C66" s="82"/>
      <x:c r="D66" s="83"/>
      <x:c r="E66" s="93"/>
      <x:c r="F66" s="84">
        <x:f t="shared" si="7"/>
        <x:v>0</x:v>
      </x:c>
      <x:c r="G66" s="224"/>
      <x:c r="H66" s="225"/>
      <x:c r="I66" s="225"/>
      <x:c r="J66" s="225"/>
      <x:c r="K66" s="225"/>
      <x:c r="L66" s="225"/>
      <x:c r="M66" s="225"/>
      <x:c r="N66" s="117"/>
      <x:c r="O66" s="85"/>
    </x:row>
    <x:row r="67" ht="15.75" customHeight="1">
      <x:c r="A67" s="75"/>
      <x:c r="B67" s="82"/>
      <x:c r="C67" s="82"/>
      <x:c r="D67" s="83"/>
      <x:c r="E67" s="93"/>
      <x:c r="F67" s="84">
        <x:f t="shared" si="7"/>
        <x:v>0</x:v>
      </x:c>
      <x:c r="G67" s="224"/>
      <x:c r="H67" s="225"/>
      <x:c r="I67" s="225"/>
      <x:c r="J67" s="225"/>
      <x:c r="K67" s="225"/>
      <x:c r="L67" s="225"/>
      <x:c r="M67" s="225"/>
      <x:c r="N67" s="117"/>
      <x:c r="O67" s="85"/>
    </x:row>
    <x:row r="68" s="173" customFormat="1" ht="15.75" customHeight="1">
      <x:c r="A68" s="75"/>
      <x:c r="B68" s="174"/>
      <x:c r="C68" s="174"/>
      <x:c r="D68" s="175"/>
      <x:c r="E68" s="176"/>
      <x:c r="F68" s="177"/>
      <x:c r="G68" s="178"/>
      <x:c r="H68" s="178"/>
      <x:c r="I68" s="178"/>
      <x:c r="J68" s="178"/>
      <x:c r="K68" s="178"/>
      <x:c r="L68" s="178"/>
      <x:c r="M68" s="178"/>
      <x:c r="N68" s="179"/>
      <x:c r="O68" s="180"/>
    </x:row>
    <x:row r="69" s="173" customFormat="1" ht="15.75" customHeight="1">
      <x:c r="A69" s="75"/>
      <x:c r="B69" s="174"/>
      <x:c r="C69" s="174"/>
      <x:c r="D69" s="175"/>
      <x:c r="E69" s="176"/>
      <x:c r="F69" s="177"/>
      <x:c r="G69" s="178"/>
      <x:c r="H69" s="178"/>
      <x:c r="I69" s="178"/>
      <x:c r="J69" s="178"/>
      <x:c r="K69" s="178"/>
      <x:c r="L69" s="178"/>
      <x:c r="M69" s="178"/>
      <x:c r="N69" s="179"/>
      <x:c r="O69" s="180"/>
    </x:row>
    <x:row r="70" ht="26.100000381469727" customHeight="1">
      <x:c r="A70" s="105">
        <x:v>9</x:v>
      </x:c>
      <x:c r="B70" s="221" t="s">
        <x:v>91</x:v>
      </x:c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49"/>
    </x:row>
    <x:row r="71" ht="15.75" customHeight="1">
      <x:c r="A71" s="75"/>
      <x:c r="B71" s="26" t="s">
        <x:v>23</x:v>
      </x:c>
      <x:c r="C71" s="26" t="s">
        <x:v>20</x:v>
      </x:c>
      <x:c r="D71" s="28">
        <x:v>46140</x:v>
      </x:c>
      <x:c r="E71" s="28">
        <x:v>46141</x:v>
      </x:c>
      <x:c r="F71" s="84" t="n">
        <x:f>DAYS360(D71,E71)</x:f>
        <x:v>1</x:v>
      </x:c>
      <x:c r="G71" s="224"/>
      <x:c r="H71" s="225"/>
      <x:c r="I71" s="225"/>
      <x:c r="J71" s="225"/>
      <x:c r="K71" s="225"/>
      <x:c r="L71" s="225"/>
      <x:c r="M71" s="225"/>
      <x:c r="N71" s="117"/>
      <x:c r="O71" s="85"/>
      <x:c r="P71" s="85"/>
    </x:row>
    <x:row r="72" ht="15.75" customHeight="1">
      <x:c r="A72" s="75"/>
      <x:c r="B72" s="82"/>
      <x:c r="C72" s="82"/>
      <x:c r="D72" s="83"/>
      <x:c r="E72" s="83"/>
      <x:c r="F72" s="84" t="e">
        <x:f t="shared" ref="F72:F75" si="8">DAYS360(D72,E72)</x:f>
      </x:c>
      <x:c r="G72" s="224"/>
      <x:c r="H72" s="225"/>
      <x:c r="I72" s="225"/>
      <x:c r="J72" s="225"/>
      <x:c r="K72" s="225"/>
      <x:c r="L72" s="225"/>
      <x:c r="M72" s="225"/>
      <x:c r="N72" s="117"/>
      <x:c r="O72" s="85"/>
      <x:c r="P72" s="85"/>
    </x:row>
    <x:row r="73" ht="15.75" customHeight="1">
      <x:c r="A73" s="75"/>
      <x:c r="B73" s="82"/>
      <x:c r="C73" s="82"/>
      <x:c r="D73" s="83"/>
      <x:c r="E73" s="83"/>
      <x:c r="F73" s="84">
        <x:f t="shared" si="8"/>
        <x:v>0</x:v>
      </x:c>
      <x:c r="G73" s="224"/>
      <x:c r="H73" s="225"/>
      <x:c r="I73" s="225"/>
      <x:c r="J73" s="225"/>
      <x:c r="K73" s="225"/>
      <x:c r="L73" s="225"/>
      <x:c r="M73" s="225"/>
      <x:c r="N73" s="117"/>
      <x:c r="O73" s="85"/>
      <x:c r="P73" s="85"/>
    </x:row>
    <x:row r="74" ht="15.75" customHeight="1">
      <x:c r="A74" s="75"/>
      <x:c r="B74" s="82"/>
      <x:c r="C74" s="82"/>
      <x:c r="D74" s="83"/>
      <x:c r="E74" s="93"/>
      <x:c r="F74" s="84">
        <x:f t="shared" si="8"/>
        <x:v>0</x:v>
      </x:c>
      <x:c r="G74" s="224"/>
      <x:c r="H74" s="225"/>
      <x:c r="I74" s="225"/>
      <x:c r="J74" s="225"/>
      <x:c r="K74" s="225"/>
      <x:c r="L74" s="225"/>
      <x:c r="M74" s="225"/>
      <x:c r="N74" s="117"/>
      <x:c r="O74" s="85"/>
      <x:c r="P74" s="85"/>
    </x:row>
    <x:row r="75" ht="15.75" customHeight="1">
      <x:c r="A75" s="75"/>
      <x:c r="B75" s="82"/>
      <x:c r="C75" s="82"/>
      <x:c r="D75" s="83"/>
      <x:c r="E75" s="93"/>
      <x:c r="F75" s="84">
        <x:f t="shared" si="8"/>
        <x:v>0</x:v>
      </x:c>
      <x:c r="G75" s="224"/>
      <x:c r="H75" s="225"/>
      <x:c r="I75" s="225"/>
      <x:c r="J75" s="225"/>
      <x:c r="K75" s="225"/>
      <x:c r="L75" s="225"/>
      <x:c r="M75" s="225"/>
      <x:c r="N75" s="117"/>
      <x:c r="O75" s="85"/>
      <x:c r="P75" s="85"/>
    </x:row>
    <x:row r="76" ht="15.75" customHeight="1">
      <x:c r="N76" s="131" t="n">
        <x:f>SUM(N71:N75)</x:f>
        <x:v>0</x:v>
      </x:c>
      <x:c r="O76" s="36"/>
    </x:row>
    <x:row r="77" ht="15.75" customHeight="1">
      <x:c r="O77" s="36"/>
    </x:row>
    <x:row r="78" ht="26.100000381469727" customHeight="1">
      <x:c r="A78" s="105">
        <x:v>10</x:v>
      </x:c>
      <x:c r="B78" s="221" t="s">
        <x:v>92</x:v>
      </x:c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49"/>
    </x:row>
    <x:row r="79" ht="15.75" customHeight="1">
      <x:c r="A79" s="75"/>
      <x:c r="B79" s="26" t="s">
        <x:v>23</x:v>
      </x:c>
      <x:c r="C79" s="26" t="s">
        <x:v>20</x:v>
      </x:c>
      <x:c r="D79" s="28">
        <x:v>46140</x:v>
      </x:c>
      <x:c r="E79" s="28">
        <x:v>46141</x:v>
      </x:c>
      <x:c r="F79" s="84" t="n">
        <x:f>DAYS360(D79,E79)</x:f>
        <x:v>1</x:v>
      </x:c>
      <x:c r="G79" s="224"/>
      <x:c r="H79" s="225"/>
      <x:c r="I79" s="225"/>
      <x:c r="J79" s="225"/>
      <x:c r="K79" s="225"/>
      <x:c r="L79" s="225"/>
      <x:c r="M79" s="225"/>
      <x:c r="N79" s="117"/>
      <x:c r="O79" s="85"/>
      <x:c r="P79" s="85"/>
    </x:row>
    <x:row r="80" ht="15.75" customHeight="1">
      <x:c r="A80" s="75"/>
      <x:c r="B80" s="82"/>
      <x:c r="C80" s="82"/>
      <x:c r="D80" s="83"/>
      <x:c r="E80" s="83"/>
      <x:c r="F80" s="84" t="e">
        <x:f t="shared" ref="F80:F83" si="9">DAYS360(D80,E80)</x:f>
      </x:c>
      <x:c r="G80" s="224"/>
      <x:c r="H80" s="225"/>
      <x:c r="I80" s="225"/>
      <x:c r="J80" s="225"/>
      <x:c r="K80" s="225"/>
      <x:c r="L80" s="225"/>
      <x:c r="M80" s="225"/>
      <x:c r="N80" s="117"/>
      <x:c r="O80" s="85"/>
      <x:c r="P80" s="85"/>
    </x:row>
    <x:row r="81" ht="15.75" customHeight="1">
      <x:c r="A81" s="75"/>
      <x:c r="B81" s="82"/>
      <x:c r="C81" s="82"/>
      <x:c r="D81" s="83"/>
      <x:c r="E81" s="83"/>
      <x:c r="F81" s="84">
        <x:f t="shared" si="9"/>
        <x:v>0</x:v>
      </x:c>
      <x:c r="G81" s="224"/>
      <x:c r="H81" s="225"/>
      <x:c r="I81" s="225"/>
      <x:c r="J81" s="225"/>
      <x:c r="K81" s="225"/>
      <x:c r="L81" s="225"/>
      <x:c r="M81" s="225"/>
      <x:c r="N81" s="117"/>
      <x:c r="O81" s="85"/>
      <x:c r="P81" s="85"/>
    </x:row>
    <x:row r="82" ht="15.75" customHeight="1">
      <x:c r="A82" s="75"/>
      <x:c r="B82" s="82"/>
      <x:c r="C82" s="82"/>
      <x:c r="D82" s="83"/>
      <x:c r="E82" s="93"/>
      <x:c r="F82" s="84">
        <x:f t="shared" si="9"/>
        <x:v>0</x:v>
      </x:c>
      <x:c r="G82" s="224"/>
      <x:c r="H82" s="225"/>
      <x:c r="I82" s="225"/>
      <x:c r="J82" s="225"/>
      <x:c r="K82" s="225"/>
      <x:c r="L82" s="225"/>
      <x:c r="M82" s="225"/>
      <x:c r="N82" s="117"/>
      <x:c r="O82" s="85"/>
      <x:c r="P82" s="85"/>
    </x:row>
    <x:row r="83" ht="15.75" customHeight="1">
      <x:c r="A83" s="75"/>
      <x:c r="B83" s="82"/>
      <x:c r="C83" s="82"/>
      <x:c r="D83" s="83"/>
      <x:c r="E83" s="93"/>
      <x:c r="F83" s="84">
        <x:f t="shared" si="9"/>
        <x:v>0</x:v>
      </x:c>
      <x:c r="G83" s="224"/>
      <x:c r="H83" s="225"/>
      <x:c r="I83" s="225"/>
      <x:c r="J83" s="225"/>
      <x:c r="K83" s="225"/>
      <x:c r="L83" s="225"/>
      <x:c r="M83" s="225"/>
      <x:c r="N83" s="117"/>
      <x:c r="O83" s="85"/>
      <x:c r="P83" s="85"/>
    </x:row>
    <x:row r="84" ht="15.75" customHeight="1">
      <x:c r="N84" s="131" t="n">
        <x:f>SUM(N79:N83)</x:f>
        <x:v>0</x:v>
      </x:c>
      <x:c r="O84" s="36"/>
    </x:row>
    <x:row r="85" ht="15.75" customHeight="1">
      <x:c r="O85" s="36"/>
    </x:row>
    <x:row r="86" ht="26.100000381469727" customHeight="1">
      <x:c r="A86" s="105">
        <x:v>11</x:v>
      </x:c>
      <x:c r="B86" s="221" t="s">
        <x:v>93</x:v>
      </x:c>
      <x:c r="C86" s="222"/>
      <x:c r="D86" s="222"/>
      <x:c r="E86" s="222"/>
      <x:c r="F86" s="222"/>
      <x:c r="G86" s="222"/>
      <x:c r="H86" s="222"/>
      <x:c r="I86" s="222"/>
      <x:c r="J86" s="222"/>
      <x:c r="K86" s="222"/>
      <x:c r="L86" s="222"/>
      <x:c r="M86" s="222"/>
      <x:c r="N86" s="222"/>
      <x:c r="O86" s="222"/>
      <x:c r="P86" s="49"/>
    </x:row>
    <x:row r="87" ht="15.75" customHeight="1">
      <x:c r="A87" s="75"/>
      <x:c r="B87" s="26" t="s">
        <x:v>23</x:v>
      </x:c>
      <x:c r="C87" s="26" t="s">
        <x:v>20</x:v>
      </x:c>
      <x:c r="D87" s="28">
        <x:v>46140</x:v>
      </x:c>
      <x:c r="E87" s="28">
        <x:v>46141</x:v>
      </x:c>
      <x:c r="F87" s="84" t="n">
        <x:f>DAYS360(D87,E87)</x:f>
        <x:v>1</x:v>
      </x:c>
      <x:c r="G87" s="224"/>
      <x:c r="H87" s="225"/>
      <x:c r="I87" s="225"/>
      <x:c r="J87" s="225"/>
      <x:c r="K87" s="225"/>
      <x:c r="L87" s="225"/>
      <x:c r="M87" s="225"/>
      <x:c r="N87" s="117"/>
      <x:c r="O87" s="85"/>
      <x:c r="P87" s="85"/>
    </x:row>
    <x:row r="88" ht="15.75" customHeight="1">
      <x:c r="A88" s="75"/>
      <x:c r="B88" s="82"/>
      <x:c r="C88" s="82"/>
      <x:c r="D88" s="83"/>
      <x:c r="E88" s="83"/>
      <x:c r="F88" s="84" t="e">
        <x:f t="shared" ref="F88:F91" si="10">DAYS360(D88,E88)</x:f>
      </x:c>
      <x:c r="G88" s="224"/>
      <x:c r="H88" s="225"/>
      <x:c r="I88" s="225"/>
      <x:c r="J88" s="225"/>
      <x:c r="K88" s="225"/>
      <x:c r="L88" s="225"/>
      <x:c r="M88" s="225"/>
      <x:c r="N88" s="117"/>
      <x:c r="O88" s="85"/>
      <x:c r="P88" s="85"/>
    </x:row>
    <x:row r="89" ht="15.75" customHeight="1">
      <x:c r="A89" s="75"/>
      <x:c r="B89" s="82"/>
      <x:c r="C89" s="82"/>
      <x:c r="D89" s="83"/>
      <x:c r="E89" s="83"/>
      <x:c r="F89" s="84">
        <x:f t="shared" si="10"/>
        <x:v>0</x:v>
      </x:c>
      <x:c r="G89" s="224"/>
      <x:c r="H89" s="225"/>
      <x:c r="I89" s="225"/>
      <x:c r="J89" s="225"/>
      <x:c r="K89" s="225"/>
      <x:c r="L89" s="225"/>
      <x:c r="M89" s="225"/>
      <x:c r="N89" s="117"/>
      <x:c r="O89" s="85"/>
      <x:c r="P89" s="85"/>
    </x:row>
    <x:row r="90" ht="15.75" customHeight="1">
      <x:c r="A90" s="75"/>
      <x:c r="B90" s="82"/>
      <x:c r="C90" s="82"/>
      <x:c r="D90" s="83"/>
      <x:c r="E90" s="93"/>
      <x:c r="F90" s="84">
        <x:f t="shared" si="10"/>
        <x:v>0</x:v>
      </x:c>
      <x:c r="G90" s="224"/>
      <x:c r="H90" s="225"/>
      <x:c r="I90" s="225"/>
      <x:c r="J90" s="225"/>
      <x:c r="K90" s="225"/>
      <x:c r="L90" s="225"/>
      <x:c r="M90" s="225"/>
      <x:c r="N90" s="117"/>
      <x:c r="O90" s="85"/>
      <x:c r="P90" s="85"/>
    </x:row>
    <x:row r="91" ht="15.75" customHeight="1">
      <x:c r="A91" s="75"/>
      <x:c r="B91" s="82"/>
      <x:c r="C91" s="82"/>
      <x:c r="D91" s="83"/>
      <x:c r="E91" s="93"/>
      <x:c r="F91" s="84">
        <x:f t="shared" si="10"/>
        <x:v>0</x:v>
      </x:c>
      <x:c r="G91" s="224"/>
      <x:c r="H91" s="225"/>
      <x:c r="I91" s="225"/>
      <x:c r="J91" s="225"/>
      <x:c r="K91" s="225"/>
      <x:c r="L91" s="225"/>
      <x:c r="M91" s="225"/>
      <x:c r="N91" s="117"/>
      <x:c r="O91" s="85"/>
      <x:c r="P91" s="85"/>
    </x:row>
    <x:row r="92" ht="15.75" customHeight="1">
      <x:c r="N92" s="131" t="n">
        <x:f>SUM(N87:N91)</x:f>
        <x:v>0</x:v>
      </x:c>
      <x:c r="O92" s="36"/>
    </x:row>
    <x:row r="93" ht="15.75" customHeight="1">
      <x:c r="O93" s="36"/>
    </x:row>
    <x:row r="94" ht="26.100000381469727" customHeight="1">
      <x:c r="A94" s="105">
        <x:v>12</x:v>
      </x:c>
      <x:c r="B94" s="221" t="s">
        <x:v>94</x:v>
      </x:c>
      <x:c r="C94" s="222"/>
      <x:c r="D94" s="222"/>
      <x:c r="E94" s="222"/>
      <x:c r="F94" s="222"/>
      <x:c r="G94" s="222"/>
      <x:c r="H94" s="222"/>
      <x:c r="I94" s="222"/>
      <x:c r="J94" s="222"/>
      <x:c r="K94" s="222"/>
      <x:c r="L94" s="222"/>
      <x:c r="M94" s="222"/>
      <x:c r="N94" s="222"/>
      <x:c r="O94" s="222"/>
      <x:c r="P94" s="49"/>
    </x:row>
    <x:row r="95" ht="15.949999809265137" customHeight="1">
      <x:c r="A95" s="75"/>
      <x:c r="B95" s="26" t="s">
        <x:v>23</x:v>
      </x:c>
      <x:c r="C95" s="26" t="s">
        <x:v>20</x:v>
      </x:c>
      <x:c r="D95" s="28">
        <x:v>46140</x:v>
      </x:c>
      <x:c r="E95" s="28">
        <x:v>46141</x:v>
      </x:c>
      <x:c r="F95" s="84" t="n">
        <x:f>DAYS360(D95,E95)</x:f>
        <x:v>1</x:v>
      </x:c>
      <x:c r="G95" s="224"/>
      <x:c r="H95" s="225"/>
      <x:c r="I95" s="225"/>
      <x:c r="J95" s="225"/>
      <x:c r="K95" s="225"/>
      <x:c r="L95" s="225"/>
      <x:c r="M95" s="225"/>
      <x:c r="N95" s="117"/>
      <x:c r="O95" s="85"/>
      <x:c r="P95" s="85"/>
    </x:row>
    <x:row r="96" ht="15.75" customHeight="1">
      <x:c r="A96" s="75"/>
      <x:c r="B96" s="82"/>
      <x:c r="C96" s="82"/>
      <x:c r="D96" s="83"/>
      <x:c r="E96" s="83"/>
      <x:c r="F96" s="84" t="e">
        <x:f t="shared" ref="F96:F99" si="11">DAYS360(D96,E96)</x:f>
      </x:c>
      <x:c r="G96" s="224"/>
      <x:c r="H96" s="225"/>
      <x:c r="I96" s="225"/>
      <x:c r="J96" s="225"/>
      <x:c r="K96" s="225"/>
      <x:c r="L96" s="225"/>
      <x:c r="M96" s="225"/>
      <x:c r="N96" s="117"/>
      <x:c r="O96" s="85"/>
      <x:c r="P96" s="85"/>
    </x:row>
    <x:row r="97" ht="15.75" customHeight="1">
      <x:c r="A97" s="75"/>
      <x:c r="B97" s="82"/>
      <x:c r="C97" s="82"/>
      <x:c r="D97" s="83"/>
      <x:c r="E97" s="83"/>
      <x:c r="F97" s="84">
        <x:f t="shared" si="11"/>
        <x:v>0</x:v>
      </x:c>
      <x:c r="G97" s="224"/>
      <x:c r="H97" s="225"/>
      <x:c r="I97" s="225"/>
      <x:c r="J97" s="225"/>
      <x:c r="K97" s="225"/>
      <x:c r="L97" s="225"/>
      <x:c r="M97" s="225"/>
      <x:c r="N97" s="117"/>
      <x:c r="O97" s="85"/>
      <x:c r="P97" s="85"/>
    </x:row>
    <x:row r="98" ht="15.75" customHeight="1">
      <x:c r="A98" s="75"/>
      <x:c r="B98" s="82"/>
      <x:c r="C98" s="82"/>
      <x:c r="D98" s="83"/>
      <x:c r="E98" s="93"/>
      <x:c r="F98" s="84">
        <x:f t="shared" si="11"/>
        <x:v>0</x:v>
      </x:c>
      <x:c r="G98" s="224"/>
      <x:c r="H98" s="225"/>
      <x:c r="I98" s="225"/>
      <x:c r="J98" s="225"/>
      <x:c r="K98" s="225"/>
      <x:c r="L98" s="225"/>
      <x:c r="M98" s="225"/>
      <x:c r="N98" s="117"/>
      <x:c r="O98" s="85"/>
      <x:c r="P98" s="85"/>
    </x:row>
    <x:row r="99" ht="15.75" customHeight="1">
      <x:c r="A99" s="75"/>
      <x:c r="B99" s="82"/>
      <x:c r="C99" s="82"/>
      <x:c r="D99" s="83"/>
      <x:c r="E99" s="93"/>
      <x:c r="F99" s="84">
        <x:f t="shared" si="11"/>
        <x:v>0</x:v>
      </x:c>
      <x:c r="G99" s="224"/>
      <x:c r="H99" s="225"/>
      <x:c r="I99" s="225"/>
      <x:c r="J99" s="225"/>
      <x:c r="K99" s="225"/>
      <x:c r="L99" s="225"/>
      <x:c r="M99" s="225"/>
      <x:c r="N99" s="117"/>
      <x:c r="O99" s="85"/>
      <x:c r="P99" s="85"/>
    </x:row>
    <x:row r="100" ht="15.75" customHeight="1">
      <x:c r="N100" s="131" t="n">
        <x:f>SUM(N95:N99)</x:f>
        <x:v>0</x:v>
      </x:c>
      <x:c r="O100" s="36"/>
    </x:row>
    <x:row r="101" ht="15.75" customHeight="1">
      <x:c r="O101" s="36"/>
    </x:row>
    <x:row r="102" ht="26.100000381469727" customHeight="1">
      <x:c r="A102" s="105">
        <x:v>13</x:v>
      </x:c>
      <x:c r="B102" s="221" t="s">
        <x:v>95</x:v>
      </x:c>
      <x:c r="C102" s="222"/>
      <x:c r="D102" s="222"/>
      <x:c r="E102" s="222"/>
      <x:c r="F102" s="222"/>
      <x:c r="G102" s="222"/>
      <x:c r="H102" s="222"/>
      <x:c r="I102" s="222"/>
      <x:c r="J102" s="222"/>
      <x:c r="K102" s="222"/>
      <x:c r="L102" s="222"/>
      <x:c r="M102" s="222"/>
      <x:c r="N102" s="222"/>
      <x:c r="O102" s="222"/>
      <x:c r="P102" s="49"/>
    </x:row>
    <x:row r="103" ht="15.75" customHeight="1">
      <x:c r="A103" s="75"/>
      <x:c r="B103" s="26" t="s">
        <x:v>23</x:v>
      </x:c>
      <x:c r="C103" s="26" t="s">
        <x:v>20</x:v>
      </x:c>
      <x:c r="D103" s="28">
        <x:v>46140</x:v>
      </x:c>
      <x:c r="E103" s="28">
        <x:v>46141</x:v>
      </x:c>
      <x:c r="F103" s="84" t="n">
        <x:f>DAYS360(D103,E103)</x:f>
        <x:v>1</x:v>
      </x:c>
      <x:c r="G103" s="224"/>
      <x:c r="H103" s="225"/>
      <x:c r="I103" s="225"/>
      <x:c r="J103" s="225"/>
      <x:c r="K103" s="225"/>
      <x:c r="L103" s="225"/>
      <x:c r="M103" s="225"/>
      <x:c r="N103" s="117"/>
      <x:c r="O103" s="85"/>
      <x:c r="P103" s="85"/>
    </x:row>
    <x:row r="104" ht="15.75" customHeight="1">
      <x:c r="A104" s="75"/>
      <x:c r="B104" s="82"/>
      <x:c r="C104" s="82"/>
      <x:c r="D104" s="83"/>
      <x:c r="E104" s="83"/>
      <x:c r="F104" s="84" t="e">
        <x:f t="shared" ref="F104:F107" si="12">DAYS360(D104,E104)</x:f>
      </x:c>
      <x:c r="G104" s="224"/>
      <x:c r="H104" s="225"/>
      <x:c r="I104" s="225"/>
      <x:c r="J104" s="225"/>
      <x:c r="K104" s="225"/>
      <x:c r="L104" s="225"/>
      <x:c r="M104" s="225"/>
      <x:c r="N104" s="117"/>
      <x:c r="O104" s="85"/>
      <x:c r="P104" s="85"/>
    </x:row>
    <x:row r="105" ht="15.75" customHeight="1">
      <x:c r="A105" s="75"/>
      <x:c r="B105" s="82"/>
      <x:c r="C105" s="82"/>
      <x:c r="D105" s="83"/>
      <x:c r="E105" s="83"/>
      <x:c r="F105" s="84">
        <x:f t="shared" si="12"/>
        <x:v>0</x:v>
      </x:c>
      <x:c r="G105" s="224"/>
      <x:c r="H105" s="225"/>
      <x:c r="I105" s="225"/>
      <x:c r="J105" s="225"/>
      <x:c r="K105" s="225"/>
      <x:c r="L105" s="225"/>
      <x:c r="M105" s="225"/>
      <x:c r="N105" s="117"/>
      <x:c r="O105" s="85"/>
      <x:c r="P105" s="85"/>
    </x:row>
    <x:row r="106" ht="15.75" customHeight="1">
      <x:c r="A106" s="75"/>
      <x:c r="B106" s="82"/>
      <x:c r="C106" s="82"/>
      <x:c r="D106" s="83"/>
      <x:c r="E106" s="93"/>
      <x:c r="F106" s="84">
        <x:f t="shared" si="12"/>
        <x:v>0</x:v>
      </x:c>
      <x:c r="G106" s="224"/>
      <x:c r="H106" s="225"/>
      <x:c r="I106" s="225"/>
      <x:c r="J106" s="225"/>
      <x:c r="K106" s="225"/>
      <x:c r="L106" s="225"/>
      <x:c r="M106" s="225"/>
      <x:c r="N106" s="117"/>
      <x:c r="O106" s="85"/>
      <x:c r="P106" s="85"/>
    </x:row>
    <x:row r="107" ht="15.75" customHeight="1">
      <x:c r="A107" s="75"/>
      <x:c r="B107" s="82"/>
      <x:c r="C107" s="82"/>
      <x:c r="D107" s="83"/>
      <x:c r="E107" s="93"/>
      <x:c r="F107" s="84">
        <x:f t="shared" si="12"/>
        <x:v>0</x:v>
      </x:c>
      <x:c r="G107" s="224"/>
      <x:c r="H107" s="225"/>
      <x:c r="I107" s="225"/>
      <x:c r="J107" s="225"/>
      <x:c r="K107" s="225"/>
      <x:c r="L107" s="225"/>
      <x:c r="M107" s="225"/>
      <x:c r="N107" s="117"/>
      <x:c r="O107" s="85"/>
      <x:c r="P107" s="85"/>
    </x:row>
    <x:row r="108" ht="15.75" customHeight="1">
      <x:c r="N108" s="131" t="n">
        <x:f>SUM(N103:N107)</x:f>
        <x:v>0</x:v>
      </x:c>
      <x:c r="O108" s="36"/>
    </x:row>
    <x:row r="109" ht="15.75" customHeight="1">
      <x:c r="O109" s="36"/>
    </x:row>
    <x:row r="110" ht="26.100000381469727" customHeight="1">
      <x:c r="A110" s="105">
        <x:v>14</x:v>
      </x:c>
      <x:c r="B110" s="221" t="s">
        <x:v>96</x:v>
      </x:c>
      <x:c r="C110" s="222"/>
      <x:c r="D110" s="222"/>
      <x:c r="E110" s="222"/>
      <x:c r="F110" s="222"/>
      <x:c r="G110" s="222"/>
      <x:c r="H110" s="222"/>
      <x:c r="I110" s="222"/>
      <x:c r="J110" s="222"/>
      <x:c r="K110" s="222"/>
      <x:c r="L110" s="222"/>
      <x:c r="M110" s="222"/>
      <x:c r="N110" s="222"/>
      <x:c r="O110" s="222"/>
      <x:c r="P110" s="49"/>
    </x:row>
    <x:row r="111" ht="15.75" customHeight="1">
      <x:c r="A111" s="75"/>
      <x:c r="B111" s="26" t="s">
        <x:v>23</x:v>
      </x:c>
      <x:c r="C111" s="26" t="s">
        <x:v>20</x:v>
      </x:c>
      <x:c r="D111" s="28">
        <x:v>46140</x:v>
      </x:c>
      <x:c r="E111" s="28">
        <x:v>46141</x:v>
      </x:c>
      <x:c r="F111" s="84" t="n">
        <x:f>DAYS360(D111,E111)</x:f>
        <x:v>1</x:v>
      </x:c>
      <x:c r="G111" s="224"/>
      <x:c r="H111" s="225"/>
      <x:c r="I111" s="225"/>
      <x:c r="J111" s="225"/>
      <x:c r="K111" s="225"/>
      <x:c r="L111" s="225"/>
      <x:c r="M111" s="225"/>
      <x:c r="N111" s="117"/>
      <x:c r="O111" s="85"/>
      <x:c r="P111" s="85"/>
    </x:row>
    <x:row r="112" ht="15.75" customHeight="1">
      <x:c r="A112" s="75"/>
      <x:c r="B112" s="82"/>
      <x:c r="C112" s="82"/>
      <x:c r="D112" s="83"/>
      <x:c r="E112" s="83"/>
      <x:c r="F112" s="84" t="e">
        <x:f t="shared" ref="F112:F115" si="13">DAYS360(D112,E112)</x:f>
      </x:c>
      <x:c r="G112" s="224"/>
      <x:c r="H112" s="225"/>
      <x:c r="I112" s="225"/>
      <x:c r="J112" s="225"/>
      <x:c r="K112" s="225"/>
      <x:c r="L112" s="225"/>
      <x:c r="M112" s="225"/>
      <x:c r="N112" s="117"/>
      <x:c r="O112" s="85"/>
      <x:c r="P112" s="85"/>
    </x:row>
    <x:row r="113" ht="15.75" customHeight="1">
      <x:c r="A113" s="75"/>
      <x:c r="B113" s="82"/>
      <x:c r="C113" s="82"/>
      <x:c r="D113" s="83"/>
      <x:c r="E113" s="83"/>
      <x:c r="F113" s="84">
        <x:f t="shared" si="13"/>
        <x:v>0</x:v>
      </x:c>
      <x:c r="G113" s="224"/>
      <x:c r="H113" s="225"/>
      <x:c r="I113" s="225"/>
      <x:c r="J113" s="225"/>
      <x:c r="K113" s="225"/>
      <x:c r="L113" s="225"/>
      <x:c r="M113" s="225"/>
      <x:c r="N113" s="117"/>
      <x:c r="O113" s="85"/>
      <x:c r="P113" s="85"/>
    </x:row>
    <x:row r="114" ht="15.75" customHeight="1">
      <x:c r="A114" s="75"/>
      <x:c r="B114" s="82"/>
      <x:c r="C114" s="82"/>
      <x:c r="D114" s="83"/>
      <x:c r="E114" s="93"/>
      <x:c r="F114" s="84">
        <x:f t="shared" si="13"/>
        <x:v>0</x:v>
      </x:c>
      <x:c r="G114" s="224"/>
      <x:c r="H114" s="225"/>
      <x:c r="I114" s="225"/>
      <x:c r="J114" s="225"/>
      <x:c r="K114" s="225"/>
      <x:c r="L114" s="225"/>
      <x:c r="M114" s="225"/>
      <x:c r="N114" s="117"/>
      <x:c r="O114" s="85"/>
      <x:c r="P114" s="85"/>
    </x:row>
    <x:row r="115" ht="15.75" customHeight="1">
      <x:c r="A115" s="75"/>
      <x:c r="B115" s="82"/>
      <x:c r="C115" s="82"/>
      <x:c r="D115" s="83"/>
      <x:c r="E115" s="93"/>
      <x:c r="F115" s="84">
        <x:f t="shared" si="13"/>
        <x:v>0</x:v>
      </x:c>
      <x:c r="G115" s="224"/>
      <x:c r="H115" s="225"/>
      <x:c r="I115" s="225"/>
      <x:c r="J115" s="225"/>
      <x:c r="K115" s="225"/>
      <x:c r="L115" s="225"/>
      <x:c r="M115" s="225"/>
      <x:c r="N115" s="117"/>
      <x:c r="O115" s="85"/>
      <x:c r="P115" s="85"/>
    </x:row>
    <x:row r="116" ht="15.75" customHeight="1">
      <x:c r="N116" s="131" t="n">
        <x:f>SUM(N111:N115)</x:f>
        <x:v>0</x:v>
      </x:c>
      <x:c r="O116" s="36"/>
    </x:row>
    <x:row r="117" ht="15.75" customHeight="1">
      <x:c r="O117" s="36"/>
    </x:row>
    <x:row r="118" ht="15.75" customHeight="1">
      <x:c r="O118" s="36"/>
    </x:row>
    <x:row r="119" ht="15.75" customHeight="1">
      <x:c r="O119" s="36"/>
    </x:row>
    <x:row r="120" ht="15.75" customHeight="1">
      <x:c r="O120" s="36"/>
    </x:row>
    <x:row r="121" ht="15.75" customHeight="1">
      <x:c r="O121" s="36"/>
    </x:row>
    <x:row r="122" ht="15.75" customHeight="1">
      <x:c r="O122" s="36"/>
    </x:row>
    <x:row r="123" ht="15.75" customHeight="1">
      <x:c r="O123" s="36"/>
    </x:row>
    <x:row r="124" ht="15.75" customHeight="1">
      <x:c r="O124" s="36"/>
    </x:row>
    <x:row r="125" ht="15.75" customHeight="1">
      <x:c r="O125" s="36"/>
    </x:row>
    <x:row r="126" ht="15.75" customHeight="1">
      <x:c r="O126" s="36"/>
    </x:row>
    <x:row r="127" ht="15.75" customHeight="1">
      <x:c r="O127" s="36"/>
    </x:row>
    <x:row r="128" ht="15.75" customHeight="1">
      <x:c r="O128" s="36"/>
    </x:row>
    <x:row r="129" ht="15.75" customHeight="1">
      <x:c r="O129" s="36"/>
    </x:row>
    <x:row r="130" ht="15.75" customHeight="1">
      <x:c r="O130" s="36"/>
    </x:row>
    <x:row r="131" ht="15.75" customHeight="1">
      <x:c r="O131" s="36"/>
    </x:row>
    <x:row r="132" ht="15.75" customHeight="1">
      <x:c r="O132" s="36"/>
    </x:row>
    <x:row r="133" ht="15.75" customHeight="1">
      <x:c r="O133" s="36"/>
    </x:row>
    <x:row r="134" ht="15.75" customHeight="1">
      <x:c r="O134" s="36"/>
    </x:row>
    <x:row r="135" ht="15.75" customHeight="1">
      <x:c r="O135" s="36"/>
    </x:row>
    <x:row r="136" ht="15.75" customHeight="1">
      <x:c r="O136" s="36"/>
    </x:row>
    <x:row r="137" ht="15.75" customHeight="1">
      <x:c r="O137" s="36"/>
    </x:row>
    <x:row r="138" ht="15.75" customHeight="1">
      <x:c r="O138" s="36"/>
    </x:row>
    <x:row r="139" ht="15.75" customHeight="1">
      <x:c r="O139" s="36"/>
    </x:row>
    <x:row r="140" ht="15.75" customHeight="1">
      <x:c r="O140" s="36"/>
    </x:row>
    <x:row r="141" ht="15.75" customHeight="1">
      <x:c r="O141" s="36"/>
    </x:row>
    <x:row r="142" ht="15.75" customHeight="1">
      <x:c r="O142" s="36"/>
    </x:row>
    <x:row r="143" ht="15.75" customHeight="1">
      <x:c r="O143" s="36"/>
    </x:row>
    <x:row r="144" ht="15.75" customHeight="1">
      <x:c r="O144" s="36"/>
    </x:row>
    <x:row r="145" ht="15.75" customHeight="1">
      <x:c r="O145" s="36"/>
    </x:row>
    <x:row r="146" ht="15.75" customHeight="1">
      <x:c r="O146" s="36"/>
    </x:row>
    <x:row r="147" ht="15.75" customHeight="1">
      <x:c r="O147" s="36"/>
    </x:row>
    <x:row r="148" ht="15.75" customHeight="1">
      <x:c r="O148" s="36"/>
    </x:row>
    <x:row r="149" ht="15.75" customHeight="1">
      <x:c r="O149" s="36"/>
    </x:row>
    <x:row r="150" ht="15.75" customHeight="1">
      <x:c r="O150" s="36"/>
    </x:row>
    <x:row r="151" ht="15.75" customHeight="1">
      <x:c r="O151" s="36"/>
    </x:row>
    <x:row r="152" ht="15.75" customHeight="1">
      <x:c r="O152" s="36"/>
    </x:row>
    <x:row r="153" ht="15.75" customHeight="1">
      <x:c r="O153" s="36"/>
    </x:row>
    <x:row r="154" ht="15.75" customHeight="1">
      <x:c r="O154" s="36"/>
    </x:row>
    <x:row r="155" ht="15.75" customHeight="1">
      <x:c r="O155" s="36"/>
    </x:row>
    <x:row r="156" ht="15.75" customHeight="1">
      <x:c r="O156" s="36"/>
    </x:row>
    <x:row r="157" ht="15.75" customHeight="1">
      <x:c r="O157" s="36"/>
    </x:row>
    <x:row r="158" ht="15.75" customHeight="1">
      <x:c r="O158" s="36"/>
    </x:row>
    <x:row r="159" ht="15.75" customHeight="1">
      <x:c r="O159" s="36"/>
    </x:row>
    <x:row r="160" ht="15.75" customHeight="1">
      <x:c r="O160" s="36"/>
    </x:row>
    <x:row r="161" ht="15.75" customHeight="1">
      <x:c r="O161" s="36"/>
    </x:row>
    <x:row r="162" ht="15.75" customHeight="1">
      <x:c r="O162" s="36"/>
    </x:row>
    <x:row r="163" ht="15.75" customHeight="1">
      <x:c r="O163" s="36"/>
    </x:row>
    <x:row r="164" ht="15.75" customHeight="1">
      <x:c r="O164" s="36"/>
    </x:row>
    <x:row r="165" ht="15.75" customHeight="1">
      <x:c r="O165" s="36"/>
    </x:row>
    <x:row r="166" ht="15.75" customHeight="1">
      <x:c r="O166" s="36"/>
    </x:row>
    <x:row r="167" ht="15.75" customHeight="1">
      <x:c r="O167" s="36"/>
    </x:row>
    <x:row r="168" ht="15.75" customHeight="1">
      <x:c r="O168" s="36"/>
    </x:row>
    <x:row r="169" ht="15.75" customHeight="1">
      <x:c r="O169" s="36"/>
    </x:row>
    <x:row r="170" ht="15.75" customHeight="1">
      <x:c r="O170" s="36"/>
    </x:row>
    <x:row r="171" ht="15.75" customHeight="1">
      <x:c r="O171" s="36"/>
    </x:row>
    <x:row r="172" ht="15.75" customHeight="1">
      <x:c r="O172" s="36"/>
    </x:row>
    <x:row r="173" ht="15.75" customHeight="1">
      <x:c r="O173" s="36"/>
    </x:row>
    <x:row r="174" ht="15.75" customHeight="1">
      <x:c r="O174" s="36"/>
    </x:row>
    <x:row r="175" ht="15.75" customHeight="1">
      <x:c r="O175" s="36"/>
    </x:row>
    <x:row r="176" ht="15.75" customHeight="1">
      <x:c r="O176" s="36"/>
    </x:row>
    <x:row r="177" ht="15.75" customHeight="1">
      <x:c r="O177" s="36"/>
    </x:row>
    <x:row r="178" ht="15.75" customHeight="1">
      <x:c r="O178" s="36"/>
    </x:row>
    <x:row r="179" ht="15.75" customHeight="1">
      <x:c r="O179" s="36"/>
    </x:row>
    <x:row r="180" ht="15.75" customHeight="1">
      <x:c r="O180" s="36"/>
    </x:row>
    <x:row r="181" ht="15.75" customHeight="1">
      <x:c r="O181" s="36"/>
    </x:row>
    <x:row r="182" ht="15.75" customHeight="1">
      <x:c r="O182" s="36"/>
    </x:row>
    <x:row r="183" ht="15.75" customHeight="1">
      <x:c r="O183" s="36"/>
    </x:row>
    <x:row r="184" ht="15.75" customHeight="1">
      <x:c r="O184" s="36"/>
    </x:row>
    <x:row r="185" ht="15.75" customHeight="1">
      <x:c r="O185" s="36"/>
    </x:row>
    <x:row r="186" ht="15.75" customHeight="1">
      <x:c r="O186" s="36"/>
    </x:row>
    <x:row r="187" ht="15.75" customHeight="1">
      <x:c r="O187" s="36"/>
    </x:row>
    <x:row r="188" ht="15.75" customHeight="1">
      <x:c r="O188" s="36"/>
    </x:row>
    <x:row r="189" ht="15.75" customHeight="1">
      <x:c r="O189" s="36"/>
    </x:row>
    <x:row r="190" ht="15.75" customHeight="1">
      <x:c r="O190" s="36"/>
    </x:row>
    <x:row r="191" ht="15.75" customHeight="1">
      <x:c r="O191" s="36"/>
    </x:row>
    <x:row r="192" ht="15.75" customHeight="1">
      <x:c r="O192" s="36"/>
    </x:row>
    <x:row r="193" ht="15.75" customHeight="1">
      <x:c r="O193" s="36"/>
    </x:row>
    <x:row r="194" ht="15.75" customHeight="1">
      <x:c r="O194" s="36"/>
    </x:row>
    <x:row r="195" ht="15.75" customHeight="1">
      <x:c r="O195" s="36"/>
    </x:row>
    <x:row r="196" ht="15.75" customHeight="1">
      <x:c r="O196" s="36"/>
    </x:row>
    <x:row r="197" ht="15.75" customHeight="1">
      <x:c r="O197" s="36"/>
    </x:row>
    <x:row r="198" ht="15.75" customHeight="1">
      <x:c r="O198" s="36"/>
    </x:row>
    <x:row r="199" ht="15.75" customHeight="1">
      <x:c r="O199" s="36"/>
    </x:row>
    <x:row r="200" ht="15.75" customHeight="1">
      <x:c r="O200" s="36"/>
    </x:row>
    <x:row r="201" ht="15.75" customHeight="1">
      <x:c r="O201" s="36"/>
    </x:row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</x:sheetData>
  <x:mergeCells>
    <x:mergeCell ref="G99:M99"/>
    <x:mergeCell ref="G91:M91"/>
    <x:mergeCell ref="G95:M95"/>
    <x:mergeCell ref="G96:M96"/>
    <x:mergeCell ref="G97:M97"/>
    <x:mergeCell ref="G98:M98"/>
    <x:mergeCell ref="B94:O94"/>
    <x:mergeCell ref="G83:M83"/>
    <x:mergeCell ref="G87:M87"/>
    <x:mergeCell ref="G88:M88"/>
    <x:mergeCell ref="G89:M89"/>
    <x:mergeCell ref="G90:M90"/>
    <x:mergeCell ref="B86:O86"/>
    <x:mergeCell ref="G75:M75"/>
    <x:mergeCell ref="G79:M79"/>
    <x:mergeCell ref="G80:M80"/>
    <x:mergeCell ref="G81:M81"/>
    <x:mergeCell ref="G82:M82"/>
    <x:mergeCell ref="B78:O78"/>
    <x:mergeCell ref="G59:M59"/>
    <x:mergeCell ref="G71:M71"/>
    <x:mergeCell ref="G72:M72"/>
    <x:mergeCell ref="G73:M73"/>
    <x:mergeCell ref="B70:O70"/>
    <x:mergeCell ref="B62:O62"/>
    <x:mergeCell ref="G63:M63"/>
    <x:mergeCell ref="G64:M64"/>
    <x:mergeCell ref="G65:M65"/>
    <x:mergeCell ref="G66:M66"/>
    <x:mergeCell ref="G67:M67"/>
    <x:mergeCell ref="G32:M32"/>
    <x:mergeCell ref="G33:M33"/>
    <x:mergeCell ref="G34:M34"/>
    <x:mergeCell ref="G35:M35"/>
    <x:mergeCell ref="G39:M39"/>
    <x:mergeCell ref="B38:O38"/>
    <x:mergeCell ref="G24:M24"/>
    <x:mergeCell ref="G25:M25"/>
    <x:mergeCell ref="G26:M26"/>
    <x:mergeCell ref="G27:M27"/>
    <x:mergeCell ref="G31:M31"/>
    <x:mergeCell ref="B30:O30"/>
    <x:mergeCell ref="G23:M23"/>
    <x:mergeCell ref="G5:M5"/>
    <x:mergeCell ref="G7:M7"/>
    <x:mergeCell ref="G8:M8"/>
    <x:mergeCell ref="G9:M9"/>
    <x:mergeCell ref="G10:M10"/>
    <x:mergeCell ref="G11:M11"/>
    <x:mergeCell ref="G15:M15"/>
    <x:mergeCell ref="G16:M16"/>
    <x:mergeCell ref="G17:M17"/>
    <x:mergeCell ref="G18:M18"/>
    <x:mergeCell ref="G19:M19"/>
    <x:mergeCell ref="B22:O22"/>
    <x:mergeCell ref="G74:M74"/>
    <x:mergeCell ref="B46:O46"/>
    <x:mergeCell ref="G40:M40"/>
    <x:mergeCell ref="G41:M41"/>
    <x:mergeCell ref="G42:M42"/>
    <x:mergeCell ref="G43:M43"/>
    <x:mergeCell ref="G47:M47"/>
    <x:mergeCell ref="G48:M48"/>
    <x:mergeCell ref="G49:M49"/>
    <x:mergeCell ref="G50:M50"/>
    <x:mergeCell ref="G51:M51"/>
    <x:mergeCell ref="G55:M55"/>
    <x:mergeCell ref="G56:M56"/>
    <x:mergeCell ref="G57:M57"/>
    <x:mergeCell ref="B54:O54"/>
    <x:mergeCell ref="G58:M58"/>
    <x:mergeCell ref="B2:F2"/>
    <x:mergeCell ref="I2:O2"/>
    <x:mergeCell ref="B4:P4"/>
    <x:mergeCell ref="B6:O6"/>
    <x:mergeCell ref="G21:N21"/>
    <x:mergeCell ref="B14:O14"/>
    <x:mergeCell ref="B102:O102"/>
    <x:mergeCell ref="G103:M103"/>
    <x:mergeCell ref="G104:M104"/>
    <x:mergeCell ref="G105:M105"/>
    <x:mergeCell ref="G106:M106"/>
    <x:mergeCell ref="G114:M114"/>
    <x:mergeCell ref="G115:M115"/>
    <x:mergeCell ref="G107:M107"/>
    <x:mergeCell ref="B110:O110"/>
    <x:mergeCell ref="G111:M111"/>
    <x:mergeCell ref="G112:M112"/>
    <x:mergeCell ref="G113:M113"/>
  </x:mergeCells>
  <x:conditionalFormatting sqref="P28:P29 P1:P6 P36:P37 P44:P45 P52:P53 P61:P69 P76:P77 P84:P85 P92:P93 P100:P101 P12:P22 P108:P109 P116:P976">
    <x:cfRule type="cellIs" dxfId="36" priority="24" operator="equal">
      <x:formula>"미완료"</x:formula>
    </x:cfRule>
  </x:conditionalFormatting>
  <x:conditionalFormatting sqref="P23:P27">
    <x:cfRule type="cellIs" dxfId="35" priority="23" operator="equal">
      <x:formula>"미완료"</x:formula>
    </x:cfRule>
  </x:conditionalFormatting>
  <x:conditionalFormatting sqref="P30:P30">
    <x:cfRule type="cellIs" dxfId="34" priority="22" operator="equal">
      <x:formula>"미완료"</x:formula>
    </x:cfRule>
  </x:conditionalFormatting>
  <x:conditionalFormatting sqref="P31:P35">
    <x:cfRule type="cellIs" dxfId="33" priority="21" operator="equal">
      <x:formula>"미완료"</x:formula>
    </x:cfRule>
  </x:conditionalFormatting>
  <x:conditionalFormatting sqref="P38:P38">
    <x:cfRule type="cellIs" dxfId="32" priority="20" operator="equal">
      <x:formula>"미완료"</x:formula>
    </x:cfRule>
  </x:conditionalFormatting>
  <x:conditionalFormatting sqref="P39:P43">
    <x:cfRule type="cellIs" dxfId="31" priority="19" operator="equal">
      <x:formula>"미완료"</x:formula>
    </x:cfRule>
  </x:conditionalFormatting>
  <x:conditionalFormatting sqref="P46:P46">
    <x:cfRule type="cellIs" dxfId="30" priority="18" operator="equal">
      <x:formula>"미완료"</x:formula>
    </x:cfRule>
  </x:conditionalFormatting>
  <x:conditionalFormatting sqref="P47:P51">
    <x:cfRule type="cellIs" dxfId="29" priority="17" operator="equal">
      <x:formula>"미완료"</x:formula>
    </x:cfRule>
  </x:conditionalFormatting>
  <x:conditionalFormatting sqref="P54:P54">
    <x:cfRule type="cellIs" dxfId="28" priority="16" operator="equal">
      <x:formula>"미완료"</x:formula>
    </x:cfRule>
  </x:conditionalFormatting>
  <x:conditionalFormatting sqref="P55:P60">
    <x:cfRule type="cellIs" dxfId="27" priority="15" operator="equal">
      <x:formula>"미완료"</x:formula>
    </x:cfRule>
  </x:conditionalFormatting>
  <x:conditionalFormatting sqref="P70:P70">
    <x:cfRule type="cellIs" dxfId="26" priority="14" operator="equal">
      <x:formula>"미완료"</x:formula>
    </x:cfRule>
  </x:conditionalFormatting>
  <x:conditionalFormatting sqref="P71:P75">
    <x:cfRule type="cellIs" dxfId="25" priority="13" operator="equal">
      <x:formula>"미완료"</x:formula>
    </x:cfRule>
  </x:conditionalFormatting>
  <x:conditionalFormatting sqref="P78:P78">
    <x:cfRule type="cellIs" dxfId="24" priority="12" operator="equal">
      <x:formula>"미완료"</x:formula>
    </x:cfRule>
  </x:conditionalFormatting>
  <x:conditionalFormatting sqref="P79:P83">
    <x:cfRule type="cellIs" dxfId="23" priority="11" operator="equal">
      <x:formula>"미완료"</x:formula>
    </x:cfRule>
  </x:conditionalFormatting>
  <x:conditionalFormatting sqref="P86:P86">
    <x:cfRule type="cellIs" dxfId="22" priority="10" operator="equal">
      <x:formula>"미완료"</x:formula>
    </x:cfRule>
  </x:conditionalFormatting>
  <x:conditionalFormatting sqref="P87:P91">
    <x:cfRule type="cellIs" dxfId="21" priority="9" operator="equal">
      <x:formula>"미완료"</x:formula>
    </x:cfRule>
  </x:conditionalFormatting>
  <x:conditionalFormatting sqref="P94:P94">
    <x:cfRule type="cellIs" dxfId="20" priority="8" operator="equal">
      <x:formula>"미완료"</x:formula>
    </x:cfRule>
  </x:conditionalFormatting>
  <x:conditionalFormatting sqref="P7:P11">
    <x:cfRule type="cellIs" dxfId="19" priority="6" operator="equal">
      <x:formula>"미완료"</x:formula>
    </x:cfRule>
  </x:conditionalFormatting>
  <x:conditionalFormatting sqref="P95:P99">
    <x:cfRule type="cellIs" dxfId="18" priority="5" operator="equal">
      <x:formula>"미완료"</x:formula>
    </x:cfRule>
  </x:conditionalFormatting>
  <x:conditionalFormatting sqref="P102:P102">
    <x:cfRule type="cellIs" dxfId="17" priority="4" operator="equal">
      <x:formula>"미완료"</x:formula>
    </x:cfRule>
  </x:conditionalFormatting>
  <x:conditionalFormatting sqref="P103:P107">
    <x:cfRule type="cellIs" dxfId="16" priority="3" operator="equal">
      <x:formula>"미완료"</x:formula>
    </x:cfRule>
  </x:conditionalFormatting>
  <x:conditionalFormatting sqref="P110:P110">
    <x:cfRule type="cellIs" dxfId="15" priority="2" operator="equal">
      <x:formula>"미완료"</x:formula>
    </x:cfRule>
  </x:conditionalFormatting>
  <x:conditionalFormatting sqref="P111:P115">
    <x:cfRule type="cellIs" dxfId="14" priority="1" operator="equal">
      <x:formula>"미완료"</x:formula>
    </x:cfRule>
  </x:conditionalFormatting>
  <x:dataValidations count="4">
    <x:dataValidation type="list" allowBlank="1" sqref="B7 B15 B23 B31 B39 B47 B55 B71 B79 B87 B95 B103 B111 B63">
      <x:formula1>$R$3:$R$11</x:formula1>
    </x:dataValidation>
    <x:dataValidation type="list" allowBlank="1" sqref="B8:B12 B24:B27 B16:B21 B32:B35 B40:B43 B48:B51 B56:B60 B72:B75 B80:B83 B88:B91 B96:B99 B104:B107 B112:B115 B64:B69">
      <x:formula1>$R$3:$R$9</x:formula1>
    </x:dataValidation>
    <x:dataValidation type="list" allowBlank="1" showErrorMessage="1" sqref="P7:P11 P15:P21 P23:P27 P31:P35 P39:P43 P47:P51 P55:P60 P71:P75 P79:P83 P87:P91 P95:P99 P103:P107 P111:P115">
      <x:formula1>$R$13:$R$14</x:formula1>
    </x:dataValidation>
    <x:dataValidation type="list" allowBlank="1" sqref="C7:C12 C23:C27 C15:C21 C31:C35 C39:C43 C47:C51 C55:C60 C71:C75 C79:C83 C87:C91 C95:C99 C103:C107 C111:C115 C63:C69">
      <x:formula1>$T$3:$T$6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C00000"/>
  </x:sheetPr>
  <x:sheetViews>
    <x:sheetView showGridLines="0" workbookViewId="0"/>
  </x:sheetViews>
  <x:sheetFormatPr defaultColWidth="14.42578125" defaultRowHeight="15"/>
  <x:cols>
    <x:col min="1" max="1" width="6.42578125" style="36" customWidth="1"/>
    <x:col min="2" max="2" width="17.28515625" customWidth="1"/>
    <x:col min="3" max="6" width="15.140625" customWidth="1"/>
    <x:col min="7" max="14" width="19.140625" customWidth="1"/>
    <x:col min="15" max="15" width="30.7109375" customWidth="1"/>
    <x:col min="16" max="16" width="10.42578125" customWidth="1"/>
    <x:col min="17" max="17" width="3.28515625" customWidth="1"/>
    <x:col min="18" max="18" width="17.140625" customWidth="1"/>
    <x:col min="19" max="19" width="3.28515625" customWidth="1"/>
    <x:col min="20" max="20" width="17.140625" customWidth="1"/>
    <x:col min="21" max="21" width="3.28515625" customWidth="1"/>
  </x:cols>
  <x:sheetData>
    <x:row r="1" ht="21" customHeight="1">
      <x:c r="A1" s="101"/>
      <x:c r="B1" s="1"/>
      <x:c r="C1" s="2"/>
      <x:c r="D1" s="3"/>
      <x:c r="E1" s="3"/>
      <x:c r="F1" s="4"/>
      <x:c r="G1" s="2"/>
      <x:c r="H1" s="2"/>
      <x:c r="I1" s="5"/>
      <x:c r="J1" s="6"/>
      <x:c r="K1" s="7"/>
      <x:c r="L1" s="6"/>
      <x:c r="M1" s="6"/>
      <x:c r="N1" s="6"/>
      <x:c r="O1" s="5"/>
      <x:c r="P1" s="9"/>
      <x:c r="Q1" s="8"/>
      <x:c r="R1" s="8"/>
      <x:c r="S1" s="8"/>
      <x:c r="T1" s="8"/>
      <x:c r="U1" s="8"/>
    </x:row>
    <x:row r="2" ht="24.75" customHeight="1">
      <x:c r="A2" s="101"/>
      <x:c r="B2" s="214" t="s">
        <x:v>81</x:v>
      </x:c>
      <x:c r="C2" s="215"/>
      <x:c r="D2" s="215"/>
      <x:c r="E2" s="215"/>
      <x:c r="F2" s="216"/>
      <x:c r="G2" s="10"/>
      <x:c r="H2" s="11" t="s">
        <x:v>1</x:v>
      </x:c>
      <x:c r="I2" s="217" t="s">
        <x:v>2</x:v>
      </x:c>
      <x:c r="J2" s="215"/>
      <x:c r="K2" s="215"/>
      <x:c r="L2" s="215"/>
      <x:c r="M2" s="215"/>
      <x:c r="N2" s="215"/>
      <x:c r="O2" s="216"/>
      <x:c r="Q2" s="12"/>
      <x:c r="R2" s="13" t="s">
        <x:v>3</x:v>
      </x:c>
      <x:c r="S2" s="13"/>
      <x:c r="T2" s="13" t="s">
        <x:v>4</x:v>
      </x:c>
      <x:c r="U2" s="12"/>
    </x:row>
    <x:row r="3" ht="21" customHeight="1">
      <x:c r="A3" s="101"/>
      <x:c r="B3" s="14"/>
      <x:c r="C3" s="14"/>
      <x:c r="D3" s="15"/>
      <x:c r="E3" s="15"/>
      <x:c r="F3" s="16"/>
      <x:c r="G3" s="17"/>
      <x:c r="H3" s="18"/>
      <x:c r="I3" s="19"/>
      <x:c r="J3" s="19"/>
      <x:c r="K3" s="19"/>
      <x:c r="L3" s="20"/>
      <x:c r="M3" s="20"/>
      <x:c r="N3" s="20"/>
      <x:c r="O3" s="39"/>
      <x:c r="P3" s="20"/>
      <x:c r="Q3" s="21"/>
      <x:c r="R3" s="22" t="s">
        <x:v>5</x:v>
      </x:c>
      <x:c r="S3" s="23"/>
      <x:c r="T3" s="22" t="s">
        <x:v>6</x:v>
      </x:c>
      <x:c r="U3" s="21"/>
    </x:row>
    <x:row r="4" ht="21" customHeight="1">
      <x:c r="A4" s="101"/>
      <x:c r="B4" s="218" t="s">
        <x:v>7</x:v>
      </x:c>
      <x:c r="C4" s="219"/>
      <x:c r="D4" s="219"/>
      <x:c r="E4" s="219"/>
      <x:c r="F4" s="219"/>
      <x:c r="G4" s="219"/>
      <x:c r="H4" s="219"/>
      <x:c r="I4" s="219"/>
      <x:c r="J4" s="219"/>
      <x:c r="K4" s="219"/>
      <x:c r="L4" s="219"/>
      <x:c r="M4" s="219"/>
      <x:c r="N4" s="219"/>
      <x:c r="O4" s="219"/>
      <x:c r="P4" s="220"/>
      <x:c r="Q4" s="21"/>
      <x:c r="R4" s="22" t="s">
        <x:v>8</x:v>
      </x:c>
      <x:c r="S4" s="23"/>
      <x:c r="T4" s="22" t="s">
        <x:v>9</x:v>
      </x:c>
      <x:c r="U4" s="21"/>
    </x:row>
    <x:row r="5" ht="21" customHeight="1">
      <x:c r="A5" s="101"/>
      <x:c r="B5" s="40" t="s">
        <x:v>10</x:v>
      </x:c>
      <x:c r="C5" s="41" t="s">
        <x:v>11</x:v>
      </x:c>
      <x:c r="D5" s="41" t="s">
        <x:v>12</x:v>
      </x:c>
      <x:c r="E5" s="40" t="s">
        <x:v>13</x:v>
      </x:c>
      <x:c r="F5" s="40" t="s">
        <x:v>14</x:v>
      </x:c>
      <x:c r="G5" s="223" t="s">
        <x:v>15</x:v>
      </x:c>
      <x:c r="H5" s="223"/>
      <x:c r="I5" s="223"/>
      <x:c r="J5" s="223"/>
      <x:c r="K5" s="223"/>
      <x:c r="L5" s="223"/>
      <x:c r="M5" s="223"/>
      <x:c r="N5" s="114" t="s">
        <x:v>16</x:v>
      </x:c>
      <x:c r="O5" s="41" t="s">
        <x:v>17</x:v>
      </x:c>
      <x:c r="P5" s="40" t="s">
        <x:v>18</x:v>
      </x:c>
      <x:c r="Q5" s="21"/>
      <x:c r="R5" s="22" t="s">
        <x:v>19</x:v>
      </x:c>
      <x:c r="S5" s="23"/>
      <x:c r="T5" s="22" t="s">
        <x:v>20</x:v>
      </x:c>
      <x:c r="U5" s="21"/>
    </x:row>
    <x:row r="6" s="168" customFormat="1" ht="30" customHeight="1">
      <x:c r="A6" s="104">
        <x:v>15</x:v>
      </x:c>
      <x:c r="B6" s="221" t="s">
        <x:v>97</x:v>
      </x:c>
      <x:c r="C6" s="221"/>
      <x:c r="D6" s="221"/>
      <x:c r="E6" s="221"/>
      <x:c r="F6" s="221"/>
      <x:c r="G6" s="221"/>
      <x:c r="H6" s="221"/>
      <x:c r="I6" s="221"/>
      <x:c r="J6" s="221"/>
      <x:c r="K6" s="221"/>
      <x:c r="L6" s="221"/>
      <x:c r="M6" s="221"/>
      <x:c r="N6" s="221"/>
      <x:c r="O6" s="221"/>
      <x:c r="P6" s="81"/>
      <x:c r="Q6" s="21"/>
      <x:c r="R6" s="25" t="s">
        <x:v>22</x:v>
      </x:c>
      <x:c r="S6" s="23"/>
      <x:c r="T6" s="22"/>
      <x:c r="U6" s="21"/>
    </x:row>
    <x:row r="7" ht="21" customHeight="1">
      <x:c r="A7" s="42"/>
      <x:c r="B7" s="26" t="s">
        <x:v>23</x:v>
      </x:c>
      <x:c r="C7" s="26" t="s">
        <x:v>20</x:v>
      </x:c>
      <x:c r="D7" s="28">
        <x:v>46140</x:v>
      </x:c>
      <x:c r="E7" s="28">
        <x:v>46141</x:v>
      </x:c>
      <x:c r="F7" s="84" t="n">
        <x:f>DAYS360(D7,E7)</x:f>
        <x:v>1</x:v>
      </x:c>
      <x:c r="G7" s="224"/>
      <x:c r="H7" s="225"/>
      <x:c r="I7" s="225"/>
      <x:c r="J7" s="225"/>
      <x:c r="K7" s="225"/>
      <x:c r="L7" s="225"/>
      <x:c r="M7" s="225"/>
      <x:c r="N7" s="117"/>
      <x:c r="O7" s="85"/>
      <x:c r="P7" s="85"/>
      <x:c r="Q7" s="27"/>
      <x:c r="R7" s="25" t="s">
        <x:v>24</x:v>
      </x:c>
      <x:c r="S7" s="27"/>
      <x:c r="T7" s="27"/>
      <x:c r="U7" s="27"/>
    </x:row>
    <x:row r="8" ht="15.949999809265137" customHeight="1">
      <x:c r="A8" s="102"/>
      <x:c r="B8" s="86"/>
      <x:c r="C8" s="86"/>
      <x:c r="D8" s="83"/>
      <x:c r="E8" s="83"/>
      <x:c r="F8" s="84" t="e">
        <x:f t="shared" ref="F8:F11" si="0">DAYS360(D8,E8)</x:f>
      </x:c>
      <x:c r="G8" s="224"/>
      <x:c r="H8" s="225"/>
      <x:c r="I8" s="225"/>
      <x:c r="J8" s="225"/>
      <x:c r="K8" s="225"/>
      <x:c r="L8" s="225"/>
      <x:c r="M8" s="225"/>
      <x:c r="N8" s="117"/>
      <x:c r="O8" s="85"/>
      <x:c r="P8" s="85"/>
      <x:c r="Q8" s="30"/>
      <x:c r="R8" s="25"/>
      <x:c r="S8" s="30"/>
      <x:c r="T8" s="30"/>
      <x:c r="U8" s="30"/>
    </x:row>
    <x:row r="9" ht="15.949999809265137" customHeight="1">
      <x:c r="A9" s="102"/>
      <x:c r="B9" s="86"/>
      <x:c r="C9" s="86"/>
      <x:c r="D9" s="83"/>
      <x:c r="E9" s="83"/>
      <x:c r="F9" s="84">
        <x:f t="shared" si="0"/>
        <x:v>0</x:v>
      </x:c>
      <x:c r="G9" s="224"/>
      <x:c r="H9" s="225"/>
      <x:c r="I9" s="225"/>
      <x:c r="J9" s="225"/>
      <x:c r="K9" s="225"/>
      <x:c r="L9" s="225"/>
      <x:c r="M9" s="225"/>
      <x:c r="N9" s="117"/>
      <x:c r="O9" s="85"/>
      <x:c r="P9" s="85"/>
      <x:c r="Q9" s="30"/>
      <x:c r="R9" s="25"/>
      <x:c r="S9" s="30"/>
      <x:c r="T9" s="30"/>
      <x:c r="U9" s="30"/>
    </x:row>
    <x:row r="10" ht="15.949999809265137" customHeight="1">
      <x:c r="A10" s="103"/>
      <x:c r="B10" s="88"/>
      <x:c r="C10" s="88"/>
      <x:c r="D10" s="89"/>
      <x:c r="E10" s="89"/>
      <x:c r="F10" s="84">
        <x:f t="shared" si="0"/>
        <x:v>0</x:v>
      </x:c>
      <x:c r="G10" s="224"/>
      <x:c r="H10" s="225"/>
      <x:c r="I10" s="225"/>
      <x:c r="J10" s="225"/>
      <x:c r="K10" s="225"/>
      <x:c r="L10" s="225"/>
      <x:c r="M10" s="225"/>
      <x:c r="N10" s="117"/>
      <x:c r="O10" s="88"/>
      <x:c r="P10" s="91"/>
      <x:c r="Q10" s="30"/>
      <x:c r="R10" s="30"/>
      <x:c r="S10" s="30"/>
      <x:c r="T10" s="30"/>
      <x:c r="U10" s="30"/>
    </x:row>
    <x:row r="11" ht="15.949999809265137" customHeight="1">
      <x:c r="A11" s="103"/>
      <x:c r="B11" s="88"/>
      <x:c r="C11" s="88"/>
      <x:c r="D11" s="89"/>
      <x:c r="E11" s="89"/>
      <x:c r="F11" s="84">
        <x:f t="shared" si="0"/>
        <x:v>0</x:v>
      </x:c>
      <x:c r="G11" s="224"/>
      <x:c r="H11" s="225"/>
      <x:c r="I11" s="225"/>
      <x:c r="J11" s="225"/>
      <x:c r="K11" s="225"/>
      <x:c r="L11" s="225"/>
      <x:c r="M11" s="225"/>
      <x:c r="N11" s="117"/>
      <x:c r="O11" s="88"/>
      <x:c r="P11" s="91"/>
      <x:c r="Q11" s="30"/>
      <x:c r="R11" s="13" t="s">
        <x:v>25</x:v>
      </x:c>
      <x:c r="S11" s="30"/>
      <x:c r="T11" s="30"/>
      <x:c r="U11" s="30"/>
    </x:row>
    <x:row r="12" ht="21" customHeight="1">
      <x:c r="A12" s="103"/>
      <x:c r="B12" s="107"/>
      <x:c r="C12" s="107"/>
      <x:c r="D12" s="108"/>
      <x:c r="E12" s="108"/>
      <x:c r="F12" s="109"/>
      <x:c r="G12" s="107"/>
      <x:c r="H12" s="110"/>
      <x:c r="I12" s="110"/>
      <x:c r="J12" s="110"/>
      <x:c r="K12" s="110"/>
      <x:c r="L12" s="110"/>
      <x:c r="M12" s="110"/>
      <x:c r="N12" s="110" t="n">
        <x:f>SUM(N7:N11)</x:f>
        <x:v>0</x:v>
      </x:c>
      <x:c r="O12" s="107"/>
      <x:c r="P12" s="111"/>
      <x:c r="Q12" s="112"/>
      <x:c r="R12" s="113"/>
      <x:c r="S12" s="112"/>
      <x:c r="T12" s="112"/>
      <x:c r="U12" s="112"/>
    </x:row>
    <x:row r="13" ht="21" customHeight="1">
      <x:c r="A13" s="75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49"/>
      <x:c r="Q13" s="30"/>
      <x:c r="R13" s="25" t="s">
        <x:v>26</x:v>
      </x:c>
      <x:c r="S13" s="30"/>
      <x:c r="T13" s="30"/>
      <x:c r="U13" s="30"/>
    </x:row>
    <x:row r="14" ht="26.25">
      <x:c r="A14" s="104">
        <x:v>16</x:v>
      </x:c>
      <x:c r="B14" s="221" t="s">
        <x:v>98</x:v>
      </x:c>
      <x:c r="C14" s="222"/>
      <x:c r="D14" s="222"/>
      <x:c r="E14" s="222"/>
      <x:c r="F14" s="222"/>
      <x:c r="G14" s="222"/>
      <x:c r="H14" s="222"/>
      <x:c r="I14" s="222"/>
      <x:c r="J14" s="222"/>
      <x:c r="K14" s="222"/>
      <x:c r="L14" s="222"/>
      <x:c r="M14" s="222"/>
      <x:c r="N14" s="222"/>
      <x:c r="O14" s="222"/>
      <x:c r="P14" s="92"/>
      <x:c r="Q14" s="30"/>
      <x:c r="R14" s="25" t="s">
        <x:v>28</x:v>
      </x:c>
      <x:c r="S14" s="30"/>
      <x:c r="T14" s="30"/>
      <x:c r="U14" s="30"/>
    </x:row>
    <x:row r="15" ht="21" customHeight="1">
      <x:c r="A15" s="75"/>
      <x:c r="B15" s="26" t="s">
        <x:v>23</x:v>
      </x:c>
      <x:c r="C15" s="26" t="s">
        <x:v>20</x:v>
      </x:c>
      <x:c r="D15" s="28">
        <x:v>46140</x:v>
      </x:c>
      <x:c r="E15" s="28">
        <x:v>46141</x:v>
      </x:c>
      <x:c r="F15" s="84" t="n">
        <x:f>DAYS360(D15,E15)</x:f>
        <x:v>1</x:v>
      </x:c>
      <x:c r="G15" s="224"/>
      <x:c r="H15" s="225"/>
      <x:c r="I15" s="225"/>
      <x:c r="J15" s="225"/>
      <x:c r="K15" s="225"/>
      <x:c r="L15" s="225"/>
      <x:c r="M15" s="225"/>
      <x:c r="N15" s="117"/>
      <x:c r="O15" s="85"/>
      <x:c r="P15" s="85"/>
      <x:c r="Q15" s="37"/>
      <x:c r="R15" s="25"/>
      <x:c r="S15" s="37"/>
      <x:c r="T15" s="37"/>
      <x:c r="U15" s="37"/>
    </x:row>
    <x:row r="16" ht="15.949999809265137" customHeight="1">
      <x:c r="A16" s="75"/>
      <x:c r="B16" s="82"/>
      <x:c r="C16" s="82"/>
      <x:c r="D16" s="83"/>
      <x:c r="E16" s="83"/>
      <x:c r="F16" s="84" t="e">
        <x:f t="shared" ref="F16:F19" si="1">DAYS360(D16,E16)</x:f>
      </x:c>
      <x:c r="G16" s="224"/>
      <x:c r="H16" s="225"/>
      <x:c r="I16" s="225"/>
      <x:c r="J16" s="225"/>
      <x:c r="K16" s="225"/>
      <x:c r="L16" s="225"/>
      <x:c r="M16" s="225"/>
      <x:c r="N16" s="117"/>
      <x:c r="O16" s="85"/>
      <x:c r="P16" s="85"/>
      <x:c r="Q16" s="38"/>
      <x:c r="R16" s="38"/>
      <x:c r="S16" s="38"/>
      <x:c r="T16" s="38"/>
      <x:c r="U16" s="38"/>
    </x:row>
    <x:row r="17" ht="15.949999809265137" customHeight="1">
      <x:c r="A17" s="75"/>
      <x:c r="B17" s="82"/>
      <x:c r="C17" s="82"/>
      <x:c r="D17" s="83"/>
      <x:c r="E17" s="93"/>
      <x:c r="F17" s="84">
        <x:f t="shared" si="1"/>
        <x:v>0</x:v>
      </x:c>
      <x:c r="G17" s="224"/>
      <x:c r="H17" s="225"/>
      <x:c r="I17" s="225"/>
      <x:c r="J17" s="225"/>
      <x:c r="K17" s="225"/>
      <x:c r="L17" s="225"/>
      <x:c r="M17" s="225"/>
      <x:c r="N17" s="117"/>
      <x:c r="O17" s="85"/>
      <x:c r="P17" s="85"/>
      <x:c r="Q17" s="38"/>
      <x:c r="R17" s="38"/>
      <x:c r="S17" s="38"/>
      <x:c r="T17" s="38"/>
      <x:c r="U17" s="38"/>
    </x:row>
    <x:row r="18" ht="15.949999809265137" customHeight="1">
      <x:c r="A18" s="75"/>
      <x:c r="B18" s="82"/>
      <x:c r="C18" s="82"/>
      <x:c r="D18" s="83"/>
      <x:c r="E18" s="93"/>
      <x:c r="F18" s="84">
        <x:f t="shared" si="1"/>
        <x:v>0</x:v>
      </x:c>
      <x:c r="G18" s="224"/>
      <x:c r="H18" s="225"/>
      <x:c r="I18" s="225"/>
      <x:c r="J18" s="225"/>
      <x:c r="K18" s="225"/>
      <x:c r="L18" s="225"/>
      <x:c r="M18" s="225"/>
      <x:c r="N18" s="117"/>
      <x:c r="O18" s="85"/>
      <x:c r="P18" s="85"/>
      <x:c r="Q18" s="38"/>
      <x:c r="R18" s="38"/>
      <x:c r="S18" s="38"/>
      <x:c r="T18" s="38"/>
      <x:c r="U18" s="38"/>
    </x:row>
    <x:row r="19" ht="15.949999809265137" customHeight="1">
      <x:c r="A19" s="75"/>
      <x:c r="B19" s="82"/>
      <x:c r="C19" s="82"/>
      <x:c r="D19" s="83"/>
      <x:c r="E19" s="83"/>
      <x:c r="F19" s="84">
        <x:f t="shared" si="1"/>
        <x:v>0</x:v>
      </x:c>
      <x:c r="G19" s="224"/>
      <x:c r="H19" s="225"/>
      <x:c r="I19" s="225"/>
      <x:c r="J19" s="225"/>
      <x:c r="K19" s="225"/>
      <x:c r="L19" s="225"/>
      <x:c r="M19" s="225"/>
      <x:c r="N19" s="117"/>
      <x:c r="O19" s="85"/>
      <x:c r="P19" s="85"/>
      <x:c r="Q19" s="38"/>
      <x:c r="R19" s="38"/>
      <x:c r="S19" s="38"/>
      <x:c r="T19" s="38"/>
      <x:c r="U19" s="38"/>
    </x:row>
    <x:row r="20" ht="21" customHeight="1">
      <x:c r="A20" s="75"/>
      <x:c r="B20" s="43"/>
      <x:c r="C20" s="43"/>
      <x:c r="D20" s="44"/>
      <x:c r="E20" s="44"/>
      <x:c r="F20" s="36"/>
      <x:c r="G20" s="129"/>
      <x:c r="H20" s="119"/>
      <x:c r="I20" s="119"/>
      <x:c r="J20" s="119"/>
      <x:c r="K20" s="119"/>
      <x:c r="L20" s="119"/>
      <x:c r="M20" s="119"/>
      <x:c r="N20" s="110" t="n">
        <x:f>SUM(N15:N19)</x:f>
        <x:v>0</x:v>
      </x:c>
      <x:c r="O20" s="47"/>
      <x:c r="P20" s="47"/>
      <x:c r="Q20" s="38"/>
      <x:c r="R20" s="38"/>
      <x:c r="S20" s="38"/>
      <x:c r="T20" s="38"/>
      <x:c r="U20" s="38"/>
    </x:row>
    <x:row r="21" ht="21" customHeight="1">
      <x:c r="A21" s="75"/>
      <x:c r="B21" s="32"/>
      <x:c r="C21" s="32"/>
      <x:c r="D21" s="33"/>
      <x:c r="E21" s="33"/>
      <x:c r="F21" s="34"/>
      <x:c r="G21" s="226"/>
      <x:c r="H21" s="227"/>
      <x:c r="I21" s="227"/>
      <x:c r="J21" s="227"/>
      <x:c r="K21" s="227"/>
      <x:c r="L21" s="227"/>
      <x:c r="M21" s="227"/>
      <x:c r="N21" s="227"/>
      <x:c r="O21" s="32"/>
      <x:c r="P21" s="47"/>
      <x:c r="Q21" s="38"/>
      <x:c r="R21" s="38"/>
      <x:c r="S21" s="38"/>
      <x:c r="T21" s="38"/>
      <x:c r="U21" s="38"/>
    </x:row>
    <x:row r="22" ht="26.25">
      <x:c r="A22" s="105">
        <x:v>17</x:v>
      </x:c>
      <x:c r="B22" s="221" t="s">
        <x:v>99</x:v>
      </x:c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49"/>
      <x:c r="Q22" s="38"/>
      <x:c r="R22" s="38"/>
      <x:c r="S22" s="38"/>
      <x:c r="T22" s="38"/>
      <x:c r="U22" s="38"/>
    </x:row>
    <x:row r="23" ht="21" customHeight="1">
      <x:c r="A23" s="75"/>
      <x:c r="B23" s="26" t="s">
        <x:v>23</x:v>
      </x:c>
      <x:c r="C23" s="26" t="s">
        <x:v>20</x:v>
      </x:c>
      <x:c r="D23" s="28">
        <x:v>46140</x:v>
      </x:c>
      <x:c r="E23" s="28">
        <x:v>46141</x:v>
      </x:c>
      <x:c r="F23" s="84" t="n">
        <x:f>DAYS360(D23,E23)</x:f>
        <x:v>1</x:v>
      </x:c>
      <x:c r="G23" s="224"/>
      <x:c r="H23" s="225"/>
      <x:c r="I23" s="225"/>
      <x:c r="J23" s="225"/>
      <x:c r="K23" s="225"/>
      <x:c r="L23" s="225"/>
      <x:c r="M23" s="225"/>
      <x:c r="N23" s="117"/>
      <x:c r="O23" s="85"/>
      <x:c r="P23" s="85"/>
      <x:c r="Q23" s="38"/>
      <x:c r="R23" s="38"/>
      <x:c r="S23" s="38"/>
      <x:c r="T23" s="38"/>
      <x:c r="U23" s="38"/>
    </x:row>
    <x:row r="24" ht="15.949999809265137" customHeight="1">
      <x:c r="A24" s="75"/>
      <x:c r="B24" s="82"/>
      <x:c r="C24" s="82"/>
      <x:c r="D24" s="83"/>
      <x:c r="E24" s="83"/>
      <x:c r="F24" s="84" t="e">
        <x:f t="shared" ref="F24:F27" si="2">DAYS360(D24,E24)</x:f>
      </x:c>
      <x:c r="G24" s="224"/>
      <x:c r="H24" s="225"/>
      <x:c r="I24" s="225"/>
      <x:c r="J24" s="225"/>
      <x:c r="K24" s="225"/>
      <x:c r="L24" s="225"/>
      <x:c r="M24" s="225"/>
      <x:c r="N24" s="117"/>
      <x:c r="O24" s="85"/>
      <x:c r="P24" s="85"/>
      <x:c r="Q24" s="38"/>
      <x:c r="R24" s="38"/>
      <x:c r="S24" s="38"/>
      <x:c r="T24" s="38"/>
      <x:c r="U24" s="38"/>
    </x:row>
    <x:row r="25" ht="15.949999809265137" customHeight="1">
      <x:c r="A25" s="75"/>
      <x:c r="B25" s="82"/>
      <x:c r="C25" s="82"/>
      <x:c r="D25" s="83"/>
      <x:c r="E25" s="93"/>
      <x:c r="F25" s="84">
        <x:f t="shared" si="2"/>
        <x:v>0</x:v>
      </x:c>
      <x:c r="G25" s="224"/>
      <x:c r="H25" s="225"/>
      <x:c r="I25" s="225"/>
      <x:c r="J25" s="225"/>
      <x:c r="K25" s="225"/>
      <x:c r="L25" s="225"/>
      <x:c r="M25" s="225"/>
      <x:c r="N25" s="117"/>
      <x:c r="O25" s="85"/>
      <x:c r="P25" s="85"/>
      <x:c r="Q25" s="106"/>
      <x:c r="R25" s="106"/>
      <x:c r="S25" s="106"/>
      <x:c r="T25" s="106"/>
      <x:c r="U25" s="106"/>
    </x:row>
    <x:row r="26" ht="15.949999809265137" customHeight="1">
      <x:c r="A26" s="75"/>
      <x:c r="B26" s="82"/>
      <x:c r="C26" s="82"/>
      <x:c r="D26" s="83"/>
      <x:c r="E26" s="93"/>
      <x:c r="F26" s="84">
        <x:f t="shared" si="2"/>
        <x:v>0</x:v>
      </x:c>
      <x:c r="G26" s="224"/>
      <x:c r="H26" s="225"/>
      <x:c r="I26" s="225"/>
      <x:c r="J26" s="225"/>
      <x:c r="K26" s="225"/>
      <x:c r="L26" s="225"/>
      <x:c r="M26" s="225"/>
      <x:c r="N26" s="117"/>
      <x:c r="O26" s="85"/>
      <x:c r="P26" s="85"/>
      <x:c r="Q26" s="38"/>
      <x:c r="R26" s="38"/>
      <x:c r="S26" s="38"/>
      <x:c r="T26" s="38"/>
      <x:c r="U26" s="38"/>
    </x:row>
    <x:row r="27" ht="15.949999809265137" customHeight="1">
      <x:c r="A27" s="75"/>
      <x:c r="B27" s="82"/>
      <x:c r="C27" s="82"/>
      <x:c r="D27" s="83"/>
      <x:c r="E27" s="83"/>
      <x:c r="F27" s="84">
        <x:f t="shared" si="2"/>
        <x:v>0</x:v>
      </x:c>
      <x:c r="G27" s="224"/>
      <x:c r="H27" s="225"/>
      <x:c r="I27" s="225"/>
      <x:c r="J27" s="225"/>
      <x:c r="K27" s="225"/>
      <x:c r="L27" s="225"/>
      <x:c r="M27" s="225"/>
      <x:c r="N27" s="117"/>
      <x:c r="O27" s="85"/>
      <x:c r="P27" s="85"/>
      <x:c r="Q27" s="38"/>
      <x:c r="R27" s="38"/>
      <x:c r="S27" s="38"/>
      <x:c r="T27" s="38"/>
      <x:c r="U27" s="38"/>
    </x:row>
    <x:row r="28" ht="21" customHeight="1">
      <x:c r="N28" s="131" t="n">
        <x:f>SUM(N23:N27)</x:f>
        <x:v>0</x:v>
      </x:c>
      <x:c r="O28" s="36"/>
    </x:row>
    <x:row r="29" ht="15.75" customHeight="1">
      <x:c r="O29" s="36"/>
    </x:row>
    <x:row r="30" ht="26.100000381469727" customHeight="1">
      <x:c r="A30" s="105">
        <x:v>18</x:v>
      </x:c>
      <x:c r="B30" s="221" t="s">
        <x:v>100</x:v>
      </x:c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49"/>
    </x:row>
    <x:row r="31" ht="15.75" customHeight="1">
      <x:c r="A31" s="75"/>
      <x:c r="B31" s="26" t="s">
        <x:v>23</x:v>
      </x:c>
      <x:c r="C31" s="26" t="s">
        <x:v>20</x:v>
      </x:c>
      <x:c r="D31" s="28">
        <x:v>46140</x:v>
      </x:c>
      <x:c r="E31" s="28">
        <x:v>46141</x:v>
      </x:c>
      <x:c r="F31" s="84" t="n">
        <x:f>DAYS360(D31,E31)</x:f>
        <x:v>1</x:v>
      </x:c>
      <x:c r="G31" s="224"/>
      <x:c r="H31" s="225"/>
      <x:c r="I31" s="225"/>
      <x:c r="J31" s="225"/>
      <x:c r="K31" s="225"/>
      <x:c r="L31" s="225"/>
      <x:c r="M31" s="225"/>
      <x:c r="N31" s="117"/>
      <x:c r="O31" s="85"/>
      <x:c r="P31" s="85"/>
    </x:row>
    <x:row r="32" ht="15.949999809265137" customHeight="1">
      <x:c r="A32" s="75"/>
      <x:c r="B32" s="82"/>
      <x:c r="C32" s="82"/>
      <x:c r="D32" s="83"/>
      <x:c r="E32" s="83"/>
      <x:c r="F32" s="84" t="e">
        <x:f t="shared" ref="F32:F35" si="3">DAYS360(D32,E32)</x:f>
      </x:c>
      <x:c r="G32" s="224"/>
      <x:c r="H32" s="225"/>
      <x:c r="I32" s="225"/>
      <x:c r="J32" s="225"/>
      <x:c r="K32" s="225"/>
      <x:c r="L32" s="225"/>
      <x:c r="M32" s="225"/>
      <x:c r="N32" s="117"/>
      <x:c r="O32" s="85"/>
      <x:c r="P32" s="85"/>
    </x:row>
    <x:row r="33" ht="15.949999809265137" customHeight="1">
      <x:c r="A33" s="75"/>
      <x:c r="B33" s="82"/>
      <x:c r="C33" s="82"/>
      <x:c r="D33" s="83"/>
      <x:c r="E33" s="93"/>
      <x:c r="F33" s="84">
        <x:f t="shared" si="3"/>
        <x:v>0</x:v>
      </x:c>
      <x:c r="G33" s="224"/>
      <x:c r="H33" s="225"/>
      <x:c r="I33" s="225"/>
      <x:c r="J33" s="225"/>
      <x:c r="K33" s="225"/>
      <x:c r="L33" s="225"/>
      <x:c r="M33" s="225"/>
      <x:c r="N33" s="117"/>
      <x:c r="O33" s="85"/>
      <x:c r="P33" s="85"/>
    </x:row>
    <x:row r="34" ht="15.949999809265137" customHeight="1">
      <x:c r="A34" s="75"/>
      <x:c r="B34" s="82"/>
      <x:c r="C34" s="82"/>
      <x:c r="D34" s="83"/>
      <x:c r="E34" s="93"/>
      <x:c r="F34" s="84">
        <x:f t="shared" si="3"/>
        <x:v>0</x:v>
      </x:c>
      <x:c r="G34" s="224"/>
      <x:c r="H34" s="225"/>
      <x:c r="I34" s="225"/>
      <x:c r="J34" s="225"/>
      <x:c r="K34" s="225"/>
      <x:c r="L34" s="225"/>
      <x:c r="M34" s="225"/>
      <x:c r="N34" s="117"/>
      <x:c r="O34" s="85"/>
      <x:c r="P34" s="85"/>
    </x:row>
    <x:row r="35" ht="15.949999809265137" customHeight="1">
      <x:c r="A35" s="75"/>
      <x:c r="B35" s="82"/>
      <x:c r="C35" s="82"/>
      <x:c r="D35" s="83"/>
      <x:c r="E35" s="83"/>
      <x:c r="F35" s="84">
        <x:f t="shared" si="3"/>
        <x:v>0</x:v>
      </x:c>
      <x:c r="G35" s="224"/>
      <x:c r="H35" s="225"/>
      <x:c r="I35" s="225"/>
      <x:c r="J35" s="225"/>
      <x:c r="K35" s="225"/>
      <x:c r="L35" s="225"/>
      <x:c r="M35" s="225"/>
      <x:c r="N35" s="117"/>
      <x:c r="O35" s="85"/>
      <x:c r="P35" s="85"/>
    </x:row>
    <x:row r="36" ht="15.75" customHeight="1">
      <x:c r="N36" s="131" t="n">
        <x:f>SUM(N31:N35)</x:f>
        <x:v>0</x:v>
      </x:c>
      <x:c r="O36" s="36"/>
    </x:row>
    <x:row r="37" ht="15.75" customHeight="1">
      <x:c r="O37" s="36"/>
    </x:row>
    <x:row r="38" ht="26.100000381469727" customHeight="1">
      <x:c r="A38" s="105">
        <x:v>19</x:v>
      </x:c>
      <x:c r="B38" s="221" t="s">
        <x:v>101</x:v>
      </x:c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49"/>
    </x:row>
    <x:row r="39" ht="15.75" customHeight="1">
      <x:c r="A39" s="75"/>
      <x:c r="B39" s="26" t="s">
        <x:v>23</x:v>
      </x:c>
      <x:c r="C39" s="26" t="s">
        <x:v>20</x:v>
      </x:c>
      <x:c r="D39" s="28">
        <x:v>46140</x:v>
      </x:c>
      <x:c r="E39" s="28">
        <x:v>46141</x:v>
      </x:c>
      <x:c r="F39" s="84" t="n">
        <x:f>DAYS360(D39,E39)</x:f>
        <x:v>1</x:v>
      </x:c>
      <x:c r="G39" s="224"/>
      <x:c r="H39" s="225"/>
      <x:c r="I39" s="225"/>
      <x:c r="J39" s="225"/>
      <x:c r="K39" s="225"/>
      <x:c r="L39" s="225"/>
      <x:c r="M39" s="225"/>
      <x:c r="N39" s="117"/>
      <x:c r="O39" s="85"/>
      <x:c r="P39" s="85"/>
    </x:row>
    <x:row r="40" ht="15.75" customHeight="1">
      <x:c r="A40" s="75"/>
      <x:c r="B40" s="82"/>
      <x:c r="C40" s="82"/>
      <x:c r="D40" s="83"/>
      <x:c r="E40" s="83"/>
      <x:c r="F40" s="84" t="e">
        <x:f t="shared" ref="F40:F43" si="4">DAYS360(D40,E40)</x:f>
      </x:c>
      <x:c r="G40" s="224"/>
      <x:c r="H40" s="225"/>
      <x:c r="I40" s="225"/>
      <x:c r="J40" s="225"/>
      <x:c r="K40" s="225"/>
      <x:c r="L40" s="225"/>
      <x:c r="M40" s="225"/>
      <x:c r="N40" s="117"/>
      <x:c r="O40" s="85"/>
      <x:c r="P40" s="85"/>
    </x:row>
    <x:row r="41" ht="15.75" customHeight="1">
      <x:c r="A41" s="75"/>
      <x:c r="B41" s="82"/>
      <x:c r="C41" s="82"/>
      <x:c r="D41" s="83"/>
      <x:c r="E41" s="93"/>
      <x:c r="F41" s="84">
        <x:f t="shared" si="4"/>
        <x:v>0</x:v>
      </x:c>
      <x:c r="G41" s="224"/>
      <x:c r="H41" s="225"/>
      <x:c r="I41" s="225"/>
      <x:c r="J41" s="225"/>
      <x:c r="K41" s="225"/>
      <x:c r="L41" s="225"/>
      <x:c r="M41" s="225"/>
      <x:c r="N41" s="117"/>
      <x:c r="O41" s="85"/>
      <x:c r="P41" s="85"/>
    </x:row>
    <x:row r="42" ht="15.75" customHeight="1">
      <x:c r="A42" s="75"/>
      <x:c r="B42" s="82"/>
      <x:c r="C42" s="82"/>
      <x:c r="D42" s="83"/>
      <x:c r="E42" s="93"/>
      <x:c r="F42" s="84">
        <x:f t="shared" si="4"/>
        <x:v>0</x:v>
      </x:c>
      <x:c r="G42" s="224"/>
      <x:c r="H42" s="225"/>
      <x:c r="I42" s="225"/>
      <x:c r="J42" s="225"/>
      <x:c r="K42" s="225"/>
      <x:c r="L42" s="225"/>
      <x:c r="M42" s="225"/>
      <x:c r="N42" s="117"/>
      <x:c r="O42" s="85"/>
      <x:c r="P42" s="85"/>
    </x:row>
    <x:row r="43" ht="15.75" customHeight="1">
      <x:c r="A43" s="75"/>
      <x:c r="B43" s="82"/>
      <x:c r="C43" s="82"/>
      <x:c r="D43" s="83"/>
      <x:c r="E43" s="83"/>
      <x:c r="F43" s="84">
        <x:f t="shared" si="4"/>
        <x:v>0</x:v>
      </x:c>
      <x:c r="G43" s="224"/>
      <x:c r="H43" s="225"/>
      <x:c r="I43" s="225"/>
      <x:c r="J43" s="225"/>
      <x:c r="K43" s="225"/>
      <x:c r="L43" s="225"/>
      <x:c r="M43" s="225"/>
      <x:c r="N43" s="117"/>
      <x:c r="O43" s="85"/>
      <x:c r="P43" s="85"/>
    </x:row>
    <x:row r="44" ht="15.75" customHeight="1">
      <x:c r="N44" s="131" t="n">
        <x:f>SUM(N39:N43)</x:f>
        <x:v>0</x:v>
      </x:c>
      <x:c r="O44" s="36"/>
    </x:row>
    <x:row r="45" ht="15.75" customHeight="1">
      <x:c r="O45" s="36"/>
    </x:row>
    <x:row r="46" ht="26.100000381469727" customHeight="1">
      <x:c r="A46" s="105">
        <x:v>20</x:v>
      </x:c>
      <x:c r="B46" s="221" t="s">
        <x:v>102</x:v>
      </x:c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49"/>
    </x:row>
    <x:row r="47" ht="15.75" customHeight="1">
      <x:c r="A47" s="75"/>
      <x:c r="B47" s="26" t="s">
        <x:v>23</x:v>
      </x:c>
      <x:c r="C47" s="26" t="s">
        <x:v>20</x:v>
      </x:c>
      <x:c r="D47" s="28">
        <x:v>46140</x:v>
      </x:c>
      <x:c r="E47" s="28">
        <x:v>46141</x:v>
      </x:c>
      <x:c r="F47" s="84" t="n">
        <x:f>DAYS360(D47,E47)</x:f>
        <x:v>1</x:v>
      </x:c>
      <x:c r="G47" s="224"/>
      <x:c r="H47" s="225"/>
      <x:c r="I47" s="225"/>
      <x:c r="J47" s="225"/>
      <x:c r="K47" s="225"/>
      <x:c r="L47" s="225"/>
      <x:c r="M47" s="225"/>
      <x:c r="N47" s="117"/>
      <x:c r="O47" s="85"/>
      <x:c r="P47" s="85"/>
    </x:row>
    <x:row r="48" ht="15.75" customHeight="1">
      <x:c r="A48" s="75"/>
      <x:c r="B48" s="82"/>
      <x:c r="C48" s="82"/>
      <x:c r="D48" s="83"/>
      <x:c r="E48" s="83"/>
      <x:c r="F48" s="84" t="e">
        <x:f t="shared" ref="F48:F51" si="5">DAYS360(D48,E48)</x:f>
      </x:c>
      <x:c r="G48" s="224"/>
      <x:c r="H48" s="225"/>
      <x:c r="I48" s="225"/>
      <x:c r="J48" s="225"/>
      <x:c r="K48" s="225"/>
      <x:c r="L48" s="225"/>
      <x:c r="M48" s="225"/>
      <x:c r="N48" s="117"/>
      <x:c r="O48" s="85"/>
      <x:c r="P48" s="85"/>
    </x:row>
    <x:row r="49" ht="15.75" customHeight="1">
      <x:c r="A49" s="75"/>
      <x:c r="B49" s="82"/>
      <x:c r="C49" s="82"/>
      <x:c r="D49" s="83"/>
      <x:c r="E49" s="93"/>
      <x:c r="F49" s="84">
        <x:f t="shared" si="5"/>
        <x:v>0</x:v>
      </x:c>
      <x:c r="G49" s="224"/>
      <x:c r="H49" s="225"/>
      <x:c r="I49" s="225"/>
      <x:c r="J49" s="225"/>
      <x:c r="K49" s="225"/>
      <x:c r="L49" s="225"/>
      <x:c r="M49" s="225"/>
      <x:c r="N49" s="117"/>
      <x:c r="O49" s="85"/>
      <x:c r="P49" s="85"/>
    </x:row>
    <x:row r="50" ht="15.75" customHeight="1">
      <x:c r="A50" s="75"/>
      <x:c r="B50" s="82"/>
      <x:c r="C50" s="82"/>
      <x:c r="D50" s="83"/>
      <x:c r="E50" s="93"/>
      <x:c r="F50" s="84">
        <x:f t="shared" si="5"/>
        <x:v>0</x:v>
      </x:c>
      <x:c r="G50" s="224"/>
      <x:c r="H50" s="225"/>
      <x:c r="I50" s="225"/>
      <x:c r="J50" s="225"/>
      <x:c r="K50" s="225"/>
      <x:c r="L50" s="225"/>
      <x:c r="M50" s="225"/>
      <x:c r="N50" s="117"/>
      <x:c r="O50" s="85"/>
      <x:c r="P50" s="85"/>
    </x:row>
    <x:row r="51" ht="15.75" customHeight="1">
      <x:c r="A51" s="75"/>
      <x:c r="B51" s="82"/>
      <x:c r="C51" s="82"/>
      <x:c r="D51" s="83"/>
      <x:c r="E51" s="83"/>
      <x:c r="F51" s="84">
        <x:f t="shared" si="5"/>
        <x:v>0</x:v>
      </x:c>
      <x:c r="G51" s="224"/>
      <x:c r="H51" s="225"/>
      <x:c r="I51" s="225"/>
      <x:c r="J51" s="225"/>
      <x:c r="K51" s="225"/>
      <x:c r="L51" s="225"/>
      <x:c r="M51" s="225"/>
      <x:c r="N51" s="117"/>
      <x:c r="O51" s="85"/>
      <x:c r="P51" s="85"/>
    </x:row>
    <x:row r="52" ht="15.75" customHeight="1">
      <x:c r="N52" s="131" t="n">
        <x:f>SUM(N47:N51)</x:f>
        <x:v>0</x:v>
      </x:c>
      <x:c r="O52" s="36"/>
    </x:row>
    <x:row r="53" ht="15.75" customHeight="1">
      <x:c r="O53" s="36"/>
    </x:row>
    <x:row r="54" ht="26.100000381469727" customHeight="1">
      <x:c r="A54" s="105">
        <x:v>21</x:v>
      </x:c>
      <x:c r="B54" s="221" t="s">
        <x:v>103</x:v>
      </x:c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49"/>
    </x:row>
    <x:row r="55" ht="15.75" customHeight="1">
      <x:c r="A55" s="75"/>
      <x:c r="B55" s="26" t="s">
        <x:v>23</x:v>
      </x:c>
      <x:c r="C55" s="26" t="s">
        <x:v>20</x:v>
      </x:c>
      <x:c r="D55" s="28">
        <x:v>46140</x:v>
      </x:c>
      <x:c r="E55" s="28">
        <x:v>46141</x:v>
      </x:c>
      <x:c r="F55" s="84" t="n">
        <x:f>DAYS360(D55,E55)</x:f>
        <x:v>1</x:v>
      </x:c>
      <x:c r="G55" s="224"/>
      <x:c r="H55" s="225"/>
      <x:c r="I55" s="225"/>
      <x:c r="J55" s="225"/>
      <x:c r="K55" s="225"/>
      <x:c r="L55" s="225"/>
      <x:c r="M55" s="225"/>
      <x:c r="N55" s="117"/>
      <x:c r="O55" s="85"/>
      <x:c r="P55" s="85"/>
    </x:row>
    <x:row r="56" ht="15.75" customHeight="1">
      <x:c r="A56" s="75"/>
      <x:c r="B56" s="82"/>
      <x:c r="C56" s="82"/>
      <x:c r="D56" s="83"/>
      <x:c r="E56" s="83"/>
      <x:c r="F56" s="84" t="e">
        <x:f t="shared" ref="F56:F59" si="6">DAYS360(D56,E56)</x:f>
      </x:c>
      <x:c r="G56" s="224"/>
      <x:c r="H56" s="225"/>
      <x:c r="I56" s="225"/>
      <x:c r="J56" s="225"/>
      <x:c r="K56" s="225"/>
      <x:c r="L56" s="225"/>
      <x:c r="M56" s="225"/>
      <x:c r="N56" s="117"/>
      <x:c r="O56" s="85"/>
      <x:c r="P56" s="85"/>
    </x:row>
    <x:row r="57" ht="15.75" customHeight="1">
      <x:c r="A57" s="75"/>
      <x:c r="B57" s="82"/>
      <x:c r="C57" s="82"/>
      <x:c r="D57" s="83"/>
      <x:c r="E57" s="93"/>
      <x:c r="F57" s="84">
        <x:f t="shared" si="6"/>
        <x:v>0</x:v>
      </x:c>
      <x:c r="G57" s="224"/>
      <x:c r="H57" s="225"/>
      <x:c r="I57" s="225"/>
      <x:c r="J57" s="225"/>
      <x:c r="K57" s="225"/>
      <x:c r="L57" s="225"/>
      <x:c r="M57" s="225"/>
      <x:c r="N57" s="117"/>
      <x:c r="O57" s="85"/>
      <x:c r="P57" s="85"/>
    </x:row>
    <x:row r="58" ht="15.75" customHeight="1">
      <x:c r="A58" s="75"/>
      <x:c r="B58" s="82"/>
      <x:c r="C58" s="82"/>
      <x:c r="D58" s="83"/>
      <x:c r="E58" s="93"/>
      <x:c r="F58" s="84">
        <x:f t="shared" si="6"/>
        <x:v>0</x:v>
      </x:c>
      <x:c r="G58" s="224"/>
      <x:c r="H58" s="225"/>
      <x:c r="I58" s="225"/>
      <x:c r="J58" s="225"/>
      <x:c r="K58" s="225"/>
      <x:c r="L58" s="225"/>
      <x:c r="M58" s="225"/>
      <x:c r="N58" s="117"/>
      <x:c r="O58" s="85"/>
      <x:c r="P58" s="85"/>
    </x:row>
    <x:row r="59" ht="15.75" customHeight="1">
      <x:c r="A59" s="75"/>
      <x:c r="B59" s="82"/>
      <x:c r="C59" s="82"/>
      <x:c r="D59" s="83"/>
      <x:c r="E59" s="83"/>
      <x:c r="F59" s="84">
        <x:f t="shared" si="6"/>
        <x:v>0</x:v>
      </x:c>
      <x:c r="G59" s="224"/>
      <x:c r="H59" s="225"/>
      <x:c r="I59" s="225"/>
      <x:c r="J59" s="225"/>
      <x:c r="K59" s="225"/>
      <x:c r="L59" s="225"/>
      <x:c r="M59" s="225"/>
      <x:c r="N59" s="117"/>
      <x:c r="O59" s="85"/>
      <x:c r="P59" s="85"/>
    </x:row>
    <x:row r="60" ht="15.75" customHeight="1">
      <x:c r="N60" s="131" t="n">
        <x:f>SUM(N55:N59)</x:f>
        <x:v>0</x:v>
      </x:c>
      <x:c r="O60" s="36"/>
    </x:row>
    <x:row r="61" ht="15.75" customHeight="1">
      <x:c r="O61" s="36"/>
    </x:row>
    <x:row r="62" ht="15.75" customHeight="1">
      <x:c r="O62" s="36"/>
    </x:row>
    <x:row r="63" ht="15.75" customHeight="1">
      <x:c r="O63" s="36"/>
    </x:row>
    <x:row r="64" ht="15.75" customHeight="1">
      <x:c r="O64" s="36"/>
    </x:row>
    <x:row r="65" ht="15.75" customHeight="1">
      <x:c r="O65" s="36"/>
    </x:row>
    <x:row r="66" ht="15.75" customHeight="1">
      <x:c r="O66" s="36"/>
    </x:row>
    <x:row r="67" ht="15.75" customHeight="1">
      <x:c r="O67" s="36"/>
    </x:row>
    <x:row r="68" ht="15.75" customHeight="1">
      <x:c r="O68" s="36"/>
    </x:row>
    <x:row r="69" ht="15.75" customHeight="1">
      <x:c r="O69" s="36"/>
    </x:row>
    <x:row r="70" ht="15.75" customHeight="1">
      <x:c r="O70" s="36"/>
    </x:row>
    <x:row r="71" ht="15.75" customHeight="1">
      <x:c r="O71" s="36"/>
    </x:row>
    <x:row r="72" ht="15.75" customHeight="1">
      <x:c r="O72" s="36"/>
    </x:row>
    <x:row r="73" ht="15.75" customHeight="1">
      <x:c r="O73" s="36"/>
    </x:row>
    <x:row r="74" ht="15.75" customHeight="1">
      <x:c r="O74" s="36"/>
    </x:row>
    <x:row r="75" ht="15.75" customHeight="1">
      <x:c r="O75" s="36"/>
    </x:row>
    <x:row r="76" ht="15.75" customHeight="1">
      <x:c r="O76" s="36"/>
    </x:row>
    <x:row r="77" ht="15.75" customHeight="1">
      <x:c r="O77" s="36"/>
    </x:row>
    <x:row r="78" ht="15.75" customHeight="1">
      <x:c r="O78" s="36"/>
    </x:row>
    <x:row r="79" ht="15.75" customHeight="1">
      <x:c r="O79" s="36"/>
    </x:row>
    <x:row r="80" ht="15.75" customHeight="1">
      <x:c r="O80" s="36"/>
    </x:row>
    <x:row r="81" ht="15.75" customHeight="1">
      <x:c r="O81" s="36"/>
    </x:row>
    <x:row r="82" ht="15.75" customHeight="1">
      <x:c r="O82" s="36"/>
    </x:row>
    <x:row r="83" ht="15.75" customHeight="1">
      <x:c r="O83" s="36"/>
    </x:row>
    <x:row r="84" ht="15.75" customHeight="1">
      <x:c r="O84" s="36"/>
    </x:row>
    <x:row r="85" ht="15.75" customHeight="1">
      <x:c r="O85" s="36"/>
    </x:row>
    <x:row r="86" ht="15.75" customHeight="1">
      <x:c r="O86" s="36"/>
    </x:row>
    <x:row r="87" ht="15.75" customHeight="1">
      <x:c r="O87" s="36"/>
    </x:row>
    <x:row r="88" ht="15.75" customHeight="1">
      <x:c r="O88" s="36"/>
    </x:row>
    <x:row r="89" ht="15.75" customHeight="1">
      <x:c r="O89" s="36"/>
    </x:row>
    <x:row r="90" ht="15.75" customHeight="1">
      <x:c r="O90" s="36"/>
    </x:row>
    <x:row r="91" ht="15.75" customHeight="1">
      <x:c r="O91" s="36"/>
    </x:row>
    <x:row r="92" ht="15.75" customHeight="1">
      <x:c r="O92" s="36"/>
    </x:row>
    <x:row r="93" ht="15.75" customHeight="1">
      <x:c r="O93" s="36"/>
    </x:row>
    <x:row r="94" ht="15.75" customHeight="1">
      <x:c r="O94" s="36"/>
    </x:row>
    <x:row r="95" ht="15.75" customHeight="1">
      <x:c r="O95" s="36"/>
    </x:row>
    <x:row r="96" ht="15.75" customHeight="1">
      <x:c r="O96" s="36"/>
    </x:row>
    <x:row r="97" ht="15.75" customHeight="1">
      <x:c r="O97" s="36"/>
    </x:row>
    <x:row r="98" ht="15.75" customHeight="1">
      <x:c r="O98" s="36"/>
    </x:row>
    <x:row r="99" ht="15.75" customHeight="1">
      <x:c r="O99" s="36"/>
    </x:row>
    <x:row r="100" ht="15.75" customHeight="1">
      <x:c r="O100" s="36"/>
    </x:row>
    <x:row r="101" ht="15.75" customHeight="1">
      <x:c r="O101" s="36"/>
    </x:row>
    <x:row r="102" ht="15.75" customHeight="1">
      <x:c r="O102" s="36"/>
    </x:row>
    <x:row r="103" ht="15.75" customHeight="1">
      <x:c r="O103" s="36"/>
    </x:row>
    <x:row r="104" ht="15.75" customHeight="1">
      <x:c r="O104" s="36"/>
    </x:row>
    <x:row r="105" ht="15.75" customHeight="1">
      <x:c r="O105" s="36"/>
    </x:row>
    <x:row r="106" ht="15.75" customHeight="1">
      <x:c r="O106" s="36"/>
    </x:row>
    <x:row r="107" ht="15.75" customHeight="1">
      <x:c r="O107" s="36"/>
    </x:row>
    <x:row r="108" ht="15.75" customHeight="1">
      <x:c r="O108" s="36"/>
    </x:row>
    <x:row r="109" ht="15.75" customHeight="1">
      <x:c r="O109" s="36"/>
    </x:row>
    <x:row r="110" ht="15.75" customHeight="1">
      <x:c r="O110" s="36"/>
    </x:row>
    <x:row r="111" ht="15.75" customHeight="1">
      <x:c r="O111" s="36"/>
    </x:row>
    <x:row r="112" ht="15.75" customHeight="1">
      <x:c r="O112" s="36"/>
    </x:row>
    <x:row r="113" ht="15.75" customHeight="1">
      <x:c r="O113" s="36"/>
    </x:row>
    <x:row r="114" ht="15.75" customHeight="1">
      <x:c r="O114" s="36"/>
    </x:row>
    <x:row r="115" ht="15.75" customHeight="1">
      <x:c r="O115" s="36"/>
    </x:row>
    <x:row r="116" ht="15.75" customHeight="1">
      <x:c r="O116" s="36"/>
    </x:row>
    <x:row r="117" ht="15.75" customHeight="1">
      <x:c r="O117" s="36"/>
    </x:row>
    <x:row r="118" ht="15.75" customHeight="1">
      <x:c r="O118" s="36"/>
    </x:row>
    <x:row r="119" ht="15.75" customHeight="1">
      <x:c r="O119" s="36"/>
    </x:row>
    <x:row r="120" ht="15.75" customHeight="1">
      <x:c r="O120" s="36"/>
    </x:row>
    <x:row r="121" ht="15.75" customHeight="1">
      <x:c r="O121" s="36"/>
    </x:row>
    <x:row r="122" ht="15.75" customHeight="1">
      <x:c r="O122" s="36"/>
    </x:row>
    <x:row r="123" ht="15.75" customHeight="1">
      <x:c r="O123" s="36"/>
    </x:row>
    <x:row r="124" ht="15.75" customHeight="1">
      <x:c r="O124" s="36"/>
    </x:row>
    <x:row r="125" ht="15.75" customHeight="1">
      <x:c r="O125" s="36"/>
    </x:row>
    <x:row r="126" ht="15.75" customHeight="1">
      <x:c r="O126" s="36"/>
    </x:row>
    <x:row r="127" ht="15.75" customHeight="1">
      <x:c r="O127" s="36"/>
    </x:row>
    <x:row r="128" ht="15.75" customHeight="1">
      <x:c r="O128" s="36"/>
    </x:row>
    <x:row r="129" ht="15.75" customHeight="1">
      <x:c r="O129" s="36"/>
    </x:row>
    <x:row r="130" ht="15.75" customHeight="1">
      <x:c r="O130" s="36"/>
    </x:row>
    <x:row r="131" ht="15.75" customHeight="1">
      <x:c r="O131" s="36"/>
    </x:row>
    <x:row r="132" ht="15.75" customHeight="1">
      <x:c r="O132" s="36"/>
    </x:row>
    <x:row r="133" ht="15.75" customHeight="1">
      <x:c r="O133" s="36"/>
    </x:row>
    <x:row r="134" ht="15.75" customHeight="1">
      <x:c r="O134" s="36"/>
    </x:row>
    <x:row r="135" ht="15.75" customHeight="1">
      <x:c r="O135" s="36"/>
    </x:row>
    <x:row r="136" ht="15.75" customHeight="1">
      <x:c r="O136" s="36"/>
    </x:row>
    <x:row r="137" ht="15.75" customHeight="1">
      <x:c r="O137" s="36"/>
    </x:row>
    <x:row r="138" ht="15.75" customHeight="1">
      <x:c r="O138" s="36"/>
    </x:row>
    <x:row r="139" ht="15.75" customHeight="1">
      <x:c r="O139" s="36"/>
    </x:row>
    <x:row r="140" ht="15.75" customHeight="1">
      <x:c r="O140" s="36"/>
    </x:row>
    <x:row r="141" ht="15.75" customHeight="1">
      <x:c r="O141" s="36"/>
    </x:row>
    <x:row r="142" ht="15.75" customHeight="1">
      <x:c r="O142" s="36"/>
    </x:row>
    <x:row r="143" ht="15.75" customHeight="1">
      <x:c r="O143" s="36"/>
    </x:row>
    <x:row r="144" ht="15.75" customHeight="1">
      <x:c r="O144" s="36"/>
    </x:row>
    <x:row r="145" ht="15.75" customHeight="1">
      <x:c r="O145" s="36"/>
    </x:row>
    <x:row r="146" ht="15.75" customHeight="1">
      <x:c r="O146" s="36"/>
    </x:row>
    <x:row r="147" ht="15.75" customHeight="1">
      <x:c r="O147" s="36"/>
    </x:row>
    <x:row r="148" ht="15.75" customHeight="1">
      <x:c r="O148" s="36"/>
    </x:row>
    <x:row r="149" ht="15.75" customHeight="1">
      <x:c r="O149" s="36"/>
    </x:row>
    <x:row r="150" ht="15.75" customHeight="1">
      <x:c r="O150" s="36"/>
    </x:row>
    <x:row r="151" ht="15.75" customHeight="1">
      <x:c r="O151" s="36"/>
    </x:row>
    <x:row r="152" ht="15.75" customHeight="1">
      <x:c r="O152" s="36"/>
    </x:row>
    <x:row r="153" ht="15.75" customHeight="1">
      <x:c r="O153" s="36"/>
    </x:row>
    <x:row r="154" ht="15.75" customHeight="1">
      <x:c r="O154" s="36"/>
    </x:row>
    <x:row r="155" ht="15.75" customHeight="1">
      <x:c r="O155" s="36"/>
    </x:row>
    <x:row r="156" ht="15.75" customHeight="1">
      <x:c r="O156" s="36"/>
    </x:row>
    <x:row r="157" ht="15.75" customHeight="1">
      <x:c r="O157" s="36"/>
    </x:row>
    <x:row r="158" ht="15.75" customHeight="1">
      <x:c r="O158" s="36"/>
    </x:row>
    <x:row r="159" ht="15.75" customHeight="1">
      <x:c r="O159" s="36"/>
    </x:row>
    <x:row r="160" ht="15.75" customHeight="1">
      <x:c r="O160" s="36"/>
    </x:row>
    <x:row r="161" ht="15.75" customHeight="1">
      <x:c r="O161" s="36"/>
    </x:row>
    <x:row r="162" ht="15.75" customHeight="1">
      <x:c r="O162" s="36"/>
    </x:row>
    <x:row r="163" ht="15.75" customHeight="1">
      <x:c r="O163" s="36"/>
    </x:row>
    <x:row r="164" ht="15.75" customHeight="1">
      <x:c r="O164" s="36"/>
    </x:row>
    <x:row r="165" ht="15.75" customHeight="1">
      <x:c r="O165" s="36"/>
    </x:row>
    <x:row r="166" ht="15.75" customHeight="1">
      <x:c r="O166" s="36"/>
    </x:row>
    <x:row r="167" ht="15.75" customHeight="1">
      <x:c r="O167" s="36"/>
    </x:row>
    <x:row r="168" ht="15.75" customHeight="1">
      <x:c r="O168" s="36"/>
    </x:row>
    <x:row r="169" ht="15.75" customHeight="1">
      <x:c r="O169" s="36"/>
    </x:row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</x:sheetData>
  <x:mergeCells>
    <x:mergeCell ref="G49:M49"/>
    <x:mergeCell ref="G50:M50"/>
    <x:mergeCell ref="G59:M59"/>
    <x:mergeCell ref="G51:M51"/>
    <x:mergeCell ref="G55:M55"/>
    <x:mergeCell ref="G56:M56"/>
    <x:mergeCell ref="G57:M57"/>
    <x:mergeCell ref="G58:M58"/>
    <x:mergeCell ref="B54:O54"/>
    <x:mergeCell ref="G15:M15"/>
    <x:mergeCell ref="G16:M16"/>
    <x:mergeCell ref="G17:M17"/>
    <x:mergeCell ref="G18:M18"/>
    <x:mergeCell ref="G41:M41"/>
    <x:mergeCell ref="B38:O38"/>
    <x:mergeCell ref="G31:M31"/>
    <x:mergeCell ref="G32:M32"/>
    <x:mergeCell ref="G33:M33"/>
    <x:mergeCell ref="G34:M34"/>
    <x:mergeCell ref="B30:O30"/>
    <x:mergeCell ref="G35:M35"/>
    <x:mergeCell ref="G39:M39"/>
    <x:mergeCell ref="G40:M40"/>
    <x:mergeCell ref="G25:M25"/>
    <x:mergeCell ref="G26:M26"/>
    <x:mergeCell ref="G47:M47"/>
    <x:mergeCell ref="G48:M48"/>
    <x:mergeCell ref="G42:M42"/>
    <x:mergeCell ref="G43:M43"/>
    <x:mergeCell ref="B46:O46"/>
    <x:mergeCell ref="B2:F2"/>
    <x:mergeCell ref="I2:O2"/>
    <x:mergeCell ref="B4:P4"/>
    <x:mergeCell ref="B6:O6"/>
    <x:mergeCell ref="B14:O14"/>
    <x:mergeCell ref="G7:M7"/>
    <x:mergeCell ref="G8:M8"/>
    <x:mergeCell ref="G9:M9"/>
    <x:mergeCell ref="G10:M10"/>
    <x:mergeCell ref="G5:M5"/>
    <x:mergeCell ref="G11:M11"/>
    <x:mergeCell ref="G27:M27"/>
    <x:mergeCell ref="G19:M19"/>
    <x:mergeCell ref="G23:M23"/>
    <x:mergeCell ref="G24:M24"/>
    <x:mergeCell ref="G21:N21"/>
    <x:mergeCell ref="B22:O22"/>
  </x:mergeCells>
  <x:conditionalFormatting sqref="P36:P37 P52:P53 P60:P944 P1:P22 P28:P29 P44:P45">
    <x:cfRule type="cellIs" dxfId="13" priority="26" operator="equal">
      <x:formula>"미완료"</x:formula>
    </x:cfRule>
  </x:conditionalFormatting>
  <x:conditionalFormatting sqref="P30:P30">
    <x:cfRule type="cellIs" dxfId="12" priority="22" operator="equal">
      <x:formula>"미완료"</x:formula>
    </x:cfRule>
  </x:conditionalFormatting>
  <x:conditionalFormatting sqref="P38:P38">
    <x:cfRule type="cellIs" dxfId="11" priority="20" operator="equal">
      <x:formula>"미완료"</x:formula>
    </x:cfRule>
  </x:conditionalFormatting>
  <x:conditionalFormatting sqref="P46:P46">
    <x:cfRule type="cellIs" dxfId="10" priority="14" operator="equal">
      <x:formula>"미완료"</x:formula>
    </x:cfRule>
  </x:conditionalFormatting>
  <x:conditionalFormatting sqref="P54:P54">
    <x:cfRule type="cellIs" dxfId="9" priority="12" operator="equal">
      <x:formula>"미완료"</x:formula>
    </x:cfRule>
  </x:conditionalFormatting>
  <x:conditionalFormatting sqref="P23:P27">
    <x:cfRule type="cellIs" dxfId="8" priority="10" operator="equal">
      <x:formula>"미완료"</x:formula>
    </x:cfRule>
  </x:conditionalFormatting>
  <x:conditionalFormatting sqref="P31:P35">
    <x:cfRule type="cellIs" dxfId="7" priority="8" operator="equal">
      <x:formula>"미완료"</x:formula>
    </x:cfRule>
  </x:conditionalFormatting>
  <x:conditionalFormatting sqref="P39:P43">
    <x:cfRule type="cellIs" dxfId="6" priority="7" operator="equal">
      <x:formula>"미완료"</x:formula>
    </x:cfRule>
  </x:conditionalFormatting>
  <x:conditionalFormatting sqref="P47:P51">
    <x:cfRule type="cellIs" dxfId="5" priority="4" operator="equal">
      <x:formula>"미완료"</x:formula>
    </x:cfRule>
  </x:conditionalFormatting>
  <x:conditionalFormatting sqref="P55:P59">
    <x:cfRule type="cellIs" dxfId="4" priority="3" operator="equal">
      <x:formula>"미완료"</x:formula>
    </x:cfRule>
  </x:conditionalFormatting>
  <x:dataValidations count="4">
    <x:dataValidation type="list" allowBlank="1" sqref="C7:C12 C55:C59 C39:C43 C31:C35 C23:C27 C15:C21 C47:C51">
      <x:formula1>$T$3:$T$6</x:formula1>
    </x:dataValidation>
    <x:dataValidation type="list" allowBlank="1" showErrorMessage="1" sqref="P7:P9 P55:P59 P39:P43 P31:P35 P23:P27 P47:P51 P15:P21">
      <x:formula1>$R$13:$R$14</x:formula1>
    </x:dataValidation>
    <x:dataValidation type="list" allowBlank="1" sqref="B8:B12 B56:B59 B40:B43 B32:B35 B24:B27 B16:B21 B48:B51">
      <x:formula1>$R$3:$R$9</x:formula1>
    </x:dataValidation>
    <x:dataValidation type="list" allowBlank="1" sqref="B7 B55 B39 B31 B23 B47 B15">
      <x:formula1>$R$3:$R$11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85546875" customWidth="1"/>
    <x:col min="2" max="2" width="17.28515625" customWidth="1"/>
    <x:col min="3" max="7" width="15.140625" customWidth="1"/>
    <x:col min="8" max="8" width="30.140625" customWidth="1"/>
    <x:col min="9" max="10" width="15.140625" customWidth="1"/>
    <x:col min="11" max="11" width="16.42578125" customWidth="1"/>
    <x:col min="12" max="13" width="15.140625" customWidth="1"/>
    <x:col min="14" max="14" width="19.7109375" customWidth="1"/>
    <x:col min="15" max="15" width="3.28515625" customWidth="1"/>
    <x:col min="16" max="16" width="17.140625" customWidth="1"/>
    <x:col min="17" max="17" width="3.28515625" customWidth="1"/>
    <x:col min="18" max="18" width="17.140625" customWidth="1"/>
    <x:col min="19" max="19" width="3.28515625" customWidth="1"/>
  </x:cols>
  <x:sheetData>
    <x:row r="1" ht="21" customHeight="1">
      <x:c r="A1" s="9"/>
      <x:c r="B1" s="1"/>
      <x:c r="C1" s="2"/>
      <x:c r="D1" s="3"/>
      <x:c r="E1" s="3"/>
      <x:c r="F1" s="4"/>
      <x:c r="G1" s="2"/>
      <x:c r="H1" s="2"/>
      <x:c r="I1" s="5"/>
      <x:c r="J1" s="6"/>
      <x:c r="K1" s="7"/>
      <x:c r="L1" s="5"/>
      <x:c r="M1" s="5"/>
      <x:c r="N1" s="9"/>
      <x:c r="O1" s="8"/>
      <x:c r="P1" s="8"/>
      <x:c r="Q1" s="8"/>
      <x:c r="R1" s="8"/>
      <x:c r="S1" s="8"/>
    </x:row>
    <x:row r="2" ht="42">
      <x:c r="A2" s="9"/>
      <x:c r="B2" s="214" t="s">
        <x:v>104</x:v>
      </x:c>
      <x:c r="C2" s="215"/>
      <x:c r="D2" s="215"/>
      <x:c r="E2" s="215"/>
      <x:c r="F2" s="216"/>
      <x:c r="G2" s="10"/>
      <x:c r="H2" s="11" t="s">
        <x:v>1</x:v>
      </x:c>
      <x:c r="I2" s="217" t="s">
        <x:v>2</x:v>
      </x:c>
      <x:c r="J2" s="215"/>
      <x:c r="K2" s="215"/>
      <x:c r="L2" s="215"/>
      <x:c r="M2" s="216"/>
      <x:c r="O2" s="12"/>
      <x:c r="P2" s="13" t="s">
        <x:v>3</x:v>
      </x:c>
      <x:c r="Q2" s="13"/>
      <x:c r="R2" s="13" t="s">
        <x:v>4</x:v>
      </x:c>
      <x:c r="S2" s="12"/>
    </x:row>
    <x:row r="3" ht="21" customHeight="1">
      <x:c r="A3" s="9"/>
      <x:c r="B3" s="14"/>
      <x:c r="C3" s="14"/>
      <x:c r="D3" s="15"/>
      <x:c r="E3" s="15"/>
      <x:c r="F3" s="16"/>
      <x:c r="G3" s="17"/>
      <x:c r="H3" s="18"/>
      <x:c r="I3" s="19"/>
      <x:c r="J3" s="19"/>
      <x:c r="K3" s="19"/>
      <x:c r="L3" s="39"/>
      <x:c r="M3" s="39"/>
      <x:c r="N3" s="20"/>
      <x:c r="O3" s="21"/>
      <x:c r="P3" s="122" t="s">
        <x:v>105</x:v>
      </x:c>
      <x:c r="Q3" s="23"/>
      <x:c r="R3" s="22" t="s">
        <x:v>6</x:v>
      </x:c>
      <x:c r="S3" s="21"/>
    </x:row>
    <x:row r="4" ht="21" customHeight="1">
      <x:c r="A4" s="9"/>
      <x:c r="B4" s="218" t="s">
        <x:v>7</x:v>
      </x:c>
      <x:c r="C4" s="219"/>
      <x:c r="D4" s="219"/>
      <x:c r="E4" s="219"/>
      <x:c r="F4" s="219"/>
      <x:c r="G4" s="219"/>
      <x:c r="H4" s="219"/>
      <x:c r="I4" s="219"/>
      <x:c r="J4" s="219"/>
      <x:c r="K4" s="219"/>
      <x:c r="L4" s="219"/>
      <x:c r="M4" s="219"/>
      <x:c r="N4" s="220"/>
      <x:c r="O4" s="21"/>
      <x:c r="P4" s="122" t="s">
        <x:v>106</x:v>
      </x:c>
      <x:c r="Q4" s="23"/>
      <x:c r="R4" s="22" t="s">
        <x:v>9</x:v>
      </x:c>
      <x:c r="S4" s="21"/>
    </x:row>
    <x:row r="5" ht="21" customHeight="1">
      <x:c r="A5" s="9"/>
      <x:c r="B5" s="40" t="s">
        <x:v>10</x:v>
      </x:c>
      <x:c r="C5" s="41" t="s">
        <x:v>11</x:v>
      </x:c>
      <x:c r="D5" s="41" t="s">
        <x:v>12</x:v>
      </x:c>
      <x:c r="E5" s="40" t="s">
        <x:v>13</x:v>
      </x:c>
      <x:c r="F5" s="40" t="s">
        <x:v>14</x:v>
      </x:c>
      <x:c r="G5" s="223" t="s">
        <x:v>15</x:v>
      </x:c>
      <x:c r="H5" s="223"/>
      <x:c r="I5" s="223"/>
      <x:c r="J5" s="223"/>
      <x:c r="K5" s="223"/>
      <x:c r="L5" s="51" t="s">
        <x:v>107</x:v>
      </x:c>
      <x:c r="M5" s="41" t="s">
        <x:v>17</x:v>
      </x:c>
      <x:c r="N5" s="40" t="s">
        <x:v>18</x:v>
      </x:c>
      <x:c r="O5" s="21"/>
      <x:c r="P5" s="122" t="s">
        <x:v>108</x:v>
      </x:c>
      <x:c r="Q5" s="23"/>
      <x:c r="R5" s="22" t="s">
        <x:v>20</x:v>
      </x:c>
      <x:c r="S5" s="21"/>
    </x:row>
    <x:row r="6" ht="26.450000762939453" customHeight="1">
      <x:c r="A6" s="24"/>
      <x:c r="B6" s="125" t="s">
        <x:v>109</x:v>
      </x:c>
      <x:c r="C6" s="115"/>
      <x:c r="D6" s="115"/>
      <x:c r="E6" s="115"/>
      <x:c r="F6" s="115"/>
      <x:c r="G6" s="115"/>
      <x:c r="H6" s="115"/>
      <x:c r="I6" s="115"/>
      <x:c r="J6" s="115"/>
      <x:c r="K6" s="115"/>
      <x:c r="L6" s="94"/>
      <x:c r="M6" s="95"/>
      <x:c r="N6" s="96"/>
      <x:c r="O6" s="21"/>
      <x:c r="P6" s="25" t="s">
        <x:v>22</x:v>
      </x:c>
      <x:c r="Q6" s="23"/>
      <x:c r="R6" s="22"/>
      <x:c r="S6" s="21"/>
    </x:row>
    <x:row r="7" ht="15.949999809265137" customHeight="1">
      <x:c r="A7" s="31"/>
      <x:c r="B7" s="82" t="s">
        <x:v>110</x:v>
      </x:c>
      <x:c r="C7" s="120" t="s">
        <x:v>9</x:v>
      </x:c>
      <x:c r="D7" s="28">
        <x:v>46140</x:v>
      </x:c>
      <x:c r="E7" s="28">
        <x:v>46140</x:v>
      </x:c>
      <x:c r="F7" s="84" t="n">
        <x:f>DAYS360(D7,E7)</x:f>
        <x:v>0</x:v>
      </x:c>
      <x:c r="G7" s="231" t="s">
        <x:v>111</x:v>
      </x:c>
      <x:c r="H7" s="232"/>
      <x:c r="I7" s="232"/>
      <x:c r="J7" s="232"/>
      <x:c r="K7" s="233"/>
      <x:c r="L7" s="123">
        <x:v>3500000</x:v>
      </x:c>
      <x:c r="M7" s="97"/>
      <x:c r="N7" s="121" t="s">
        <x:v>112</x:v>
      </x:c>
      <x:c r="O7" s="30"/>
      <x:c r="P7" s="13" t="s">
        <x:v>24</x:v>
      </x:c>
      <x:c r="Q7" s="30"/>
      <x:c r="R7" s="30"/>
      <x:c r="S7" s="30"/>
    </x:row>
    <x:row r="8" ht="15.949999809265137" customHeight="1">
      <x:c r="A8" s="31"/>
      <x:c r="B8" s="82"/>
      <x:c r="C8" s="82"/>
      <x:c r="D8" s="28"/>
      <x:c r="E8" s="28"/>
      <x:c r="F8" s="84" t="e">
        <x:f t="shared" ref="F8:F17" si="0">DAYS360(D8,E8)</x:f>
      </x:c>
      <x:c r="G8" s="234"/>
      <x:c r="H8" s="235"/>
      <x:c r="I8" s="235"/>
      <x:c r="J8" s="235"/>
      <x:c r="K8" s="236"/>
      <x:c r="L8" s="88"/>
      <x:c r="M8" s="97"/>
      <x:c r="N8" s="85"/>
      <x:c r="O8" s="30"/>
      <x:c r="P8" s="13"/>
      <x:c r="Q8" s="30"/>
      <x:c r="R8" s="30"/>
      <x:c r="S8" s="30"/>
    </x:row>
    <x:row r="9" ht="15.949999809265137" customHeight="1">
      <x:c r="A9" s="31"/>
      <x:c r="B9" s="82"/>
      <x:c r="C9" s="82"/>
      <x:c r="D9" s="28"/>
      <x:c r="E9" s="28"/>
      <x:c r="F9" s="84">
        <x:f t="shared" si="0"/>
        <x:v>0</x:v>
      </x:c>
      <x:c r="G9" s="234"/>
      <x:c r="H9" s="235"/>
      <x:c r="I9" s="235"/>
      <x:c r="J9" s="235"/>
      <x:c r="K9" s="236"/>
      <x:c r="L9" s="88"/>
      <x:c r="M9" s="97"/>
      <x:c r="N9" s="85"/>
      <x:c r="O9" s="30"/>
      <x:c r="P9" s="13"/>
      <x:c r="Q9" s="30"/>
      <x:c r="R9" s="30"/>
      <x:c r="S9" s="30"/>
    </x:row>
    <x:row r="10" ht="15.949999809265137" customHeight="1">
      <x:c r="A10" s="31"/>
      <x:c r="B10" s="86"/>
      <x:c r="C10" s="86"/>
      <x:c r="D10" s="28"/>
      <x:c r="E10" s="28"/>
      <x:c r="F10" s="84">
        <x:f t="shared" si="0"/>
        <x:v>0</x:v>
      </x:c>
      <x:c r="G10" s="234"/>
      <x:c r="H10" s="235"/>
      <x:c r="I10" s="235"/>
      <x:c r="J10" s="235"/>
      <x:c r="K10" s="236"/>
      <x:c r="L10" s="100"/>
      <x:c r="M10" s="97"/>
      <x:c r="N10" s="97"/>
      <x:c r="O10" s="30"/>
      <x:c r="P10" s="13" t="s">
        <x:v>25</x:v>
      </x:c>
      <x:c r="Q10" s="30"/>
      <x:c r="R10" s="30"/>
      <x:c r="S10" s="30"/>
    </x:row>
    <x:row r="11" ht="15.949999809265137" customHeight="1">
      <x:c r="A11" s="35"/>
      <x:c r="B11" s="82"/>
      <x:c r="C11" s="120"/>
      <x:c r="D11" s="28"/>
      <x:c r="E11" s="28"/>
      <x:c r="F11" s="84">
        <x:f t="shared" si="0"/>
        <x:v>0</x:v>
      </x:c>
      <x:c r="G11" s="231"/>
      <x:c r="H11" s="232"/>
      <x:c r="I11" s="232"/>
      <x:c r="J11" s="232"/>
      <x:c r="K11" s="233"/>
      <x:c r="L11" s="123"/>
      <x:c r="M11" s="97"/>
      <x:c r="N11" s="121"/>
      <x:c r="O11" s="30"/>
      <x:c r="P11" s="25" t="s">
        <x:v>112</x:v>
      </x:c>
      <x:c r="Q11" s="30"/>
      <x:c r="R11" s="30"/>
      <x:c r="S11" s="30"/>
    </x:row>
    <x:row r="12" ht="15.949999809265137" customHeight="1">
      <x:c r="A12" s="35"/>
      <x:c r="B12" s="82"/>
      <x:c r="C12" s="82"/>
      <x:c r="D12" s="28"/>
      <x:c r="E12" s="28"/>
      <x:c r="F12" s="84">
        <x:f t="shared" si="0"/>
        <x:v>0</x:v>
      </x:c>
      <x:c r="G12" s="234"/>
      <x:c r="H12" s="235"/>
      <x:c r="I12" s="235"/>
      <x:c r="J12" s="235"/>
      <x:c r="K12" s="236"/>
      <x:c r="L12" s="90"/>
      <x:c r="M12" s="97"/>
      <x:c r="N12" s="85"/>
      <x:c r="O12" s="30"/>
      <x:c r="P12" s="25" t="s">
        <x:v>113</x:v>
      </x:c>
      <x:c r="Q12" s="30"/>
      <x:c r="R12" s="30"/>
      <x:c r="S12" s="30"/>
    </x:row>
    <x:row r="13" ht="15.949999809265137" customHeight="1">
      <x:c r="A13" s="35"/>
      <x:c r="B13" s="82"/>
      <x:c r="C13" s="82"/>
      <x:c r="D13" s="28"/>
      <x:c r="E13" s="28"/>
      <x:c r="F13" s="84">
        <x:f t="shared" si="0"/>
        <x:v>0</x:v>
      </x:c>
      <x:c r="G13" s="234"/>
      <x:c r="H13" s="235"/>
      <x:c r="I13" s="235"/>
      <x:c r="J13" s="235"/>
      <x:c r="K13" s="236"/>
      <x:c r="L13" s="90"/>
      <x:c r="M13" s="97"/>
      <x:c r="N13" s="85"/>
      <x:c r="O13" s="30"/>
      <x:c r="P13" s="25" t="s">
        <x:v>114</x:v>
      </x:c>
      <x:c r="Q13" s="30"/>
      <x:c r="R13" s="30"/>
      <x:c r="S13" s="30"/>
    </x:row>
    <x:row r="14" ht="15.949999809265137" customHeight="1">
      <x:c r="A14" s="35"/>
      <x:c r="B14" s="116"/>
      <x:c r="C14" s="116"/>
      <x:c r="D14" s="28"/>
      <x:c r="E14" s="28"/>
      <x:c r="F14" s="84">
        <x:f t="shared" si="0"/>
        <x:v>0</x:v>
      </x:c>
      <x:c r="G14" s="234"/>
      <x:c r="H14" s="235"/>
      <x:c r="I14" s="235"/>
      <x:c r="J14" s="235"/>
      <x:c r="K14" s="236"/>
      <x:c r="L14" s="100"/>
      <x:c r="M14" s="97"/>
      <x:c r="N14" s="97"/>
      <x:c r="O14" s="37"/>
      <x:c r="P14" s="25"/>
      <x:c r="Q14" s="37"/>
      <x:c r="R14" s="37"/>
      <x:c r="S14" s="37"/>
    </x:row>
    <x:row r="15" ht="15.949999809265137" customHeight="1">
      <x:c r="A15" s="35"/>
      <x:c r="B15" s="124"/>
      <x:c r="C15" s="124"/>
      <x:c r="D15" s="28"/>
      <x:c r="E15" s="28"/>
      <x:c r="F15" s="84">
        <x:f t="shared" si="0"/>
        <x:v>0</x:v>
      </x:c>
      <x:c r="G15" s="234"/>
      <x:c r="H15" s="235"/>
      <x:c r="I15" s="235"/>
      <x:c r="J15" s="235"/>
      <x:c r="K15" s="236"/>
      <x:c r="L15" s="124"/>
      <x:c r="M15" s="124"/>
      <x:c r="N15" s="124"/>
      <x:c r="O15" s="37"/>
      <x:c r="P15" s="25"/>
      <x:c r="Q15" s="37"/>
      <x:c r="R15" s="37"/>
      <x:c r="S15" s="37"/>
    </x:row>
    <x:row r="16" ht="15.949999809265137" customHeight="1">
      <x:c r="A16" s="35"/>
      <x:c r="B16" s="124"/>
      <x:c r="C16" s="124"/>
      <x:c r="D16" s="28"/>
      <x:c r="E16" s="28"/>
      <x:c r="F16" s="84">
        <x:f t="shared" si="0"/>
        <x:v>0</x:v>
      </x:c>
      <x:c r="G16" s="234"/>
      <x:c r="H16" s="235"/>
      <x:c r="I16" s="235"/>
      <x:c r="J16" s="235"/>
      <x:c r="K16" s="236"/>
      <x:c r="L16" s="124"/>
      <x:c r="M16" s="124"/>
      <x:c r="N16" s="124"/>
      <x:c r="O16" s="38"/>
      <x:c r="P16" s="25"/>
      <x:c r="Q16" s="38"/>
      <x:c r="R16" s="38"/>
      <x:c r="S16" s="38"/>
    </x:row>
    <x:row r="17" ht="15.949999809265137" customHeight="1">
      <x:c r="A17" s="35"/>
      <x:c r="B17" s="124"/>
      <x:c r="C17" s="124"/>
      <x:c r="D17" s="28"/>
      <x:c r="E17" s="28"/>
      <x:c r="F17" s="84">
        <x:f t="shared" si="0"/>
        <x:v>0</x:v>
      </x:c>
      <x:c r="G17" s="234"/>
      <x:c r="H17" s="235"/>
      <x:c r="I17" s="235"/>
      <x:c r="J17" s="235"/>
      <x:c r="K17" s="236"/>
      <x:c r="L17" s="124"/>
      <x:c r="M17" s="124"/>
      <x:c r="N17" s="124"/>
      <x:c r="O17" s="38"/>
      <x:c r="P17" s="38"/>
      <x:c r="Q17" s="38"/>
      <x:c r="R17" s="38"/>
      <x:c r="S17" s="38"/>
    </x:row>
    <x:row r="18" ht="21" customHeight="1">
      <x:c r="A18" s="35"/>
      <x:c r="B18" s="43"/>
      <x:c r="C18" s="43"/>
      <x:c r="D18" s="44"/>
      <x:c r="E18" s="44"/>
      <x:c r="F18" s="45"/>
      <x:c r="G18" s="53"/>
      <x:c r="H18" s="53"/>
      <x:c r="I18" s="53"/>
      <x:c r="J18" s="53"/>
      <x:c r="K18" s="53"/>
      <x:c r="L18" s="32"/>
      <x:c r="M18" s="47"/>
      <x:c r="N18" s="47"/>
      <x:c r="O18" s="38"/>
      <x:c r="P18" s="38"/>
      <x:c r="Q18" s="38"/>
      <x:c r="R18" s="38"/>
      <x:c r="S18" s="38"/>
    </x:row>
    <x:row r="19" ht="21" customHeight="1">
      <x:c r="A19" s="35"/>
      <x:c r="L19" s="36"/>
      <x:c r="M19" s="36"/>
      <x:c r="N19" s="49"/>
      <x:c r="O19" s="38"/>
      <x:c r="P19" s="38"/>
      <x:c r="Q19" s="38"/>
      <x:c r="R19" s="38"/>
      <x:c r="S19" s="38"/>
    </x:row>
    <x:row r="20" ht="26.450000762939453" customHeight="1">
      <x:c r="A20" s="35"/>
      <x:c r="B20" s="238" t="s">
        <x:v>115</x:v>
      </x:c>
      <x:c r="C20" s="239"/>
      <x:c r="D20" s="239"/>
      <x:c r="E20" s="239"/>
      <x:c r="F20" s="239"/>
      <x:c r="G20" s="239"/>
      <x:c r="H20" s="239"/>
      <x:c r="I20" s="239"/>
      <x:c r="J20" s="239"/>
      <x:c r="K20" s="239"/>
      <x:c r="L20" s="54"/>
      <x:c r="M20" s="52"/>
      <x:c r="N20" s="55"/>
      <x:c r="O20" s="38"/>
      <x:c r="P20" s="38"/>
      <x:c r="Q20" s="38"/>
      <x:c r="R20" s="38"/>
      <x:c r="S20" s="38"/>
    </x:row>
    <x:row r="21" ht="15.949999809265137" customHeight="1">
      <x:c r="A21" s="35"/>
      <x:c r="B21" s="26" t="s">
        <x:v>23</x:v>
      </x:c>
      <x:c r="C21" s="26" t="s">
        <x:v>20</x:v>
      </x:c>
      <x:c r="D21" s="28">
        <x:v>46140</x:v>
      </x:c>
      <x:c r="E21" s="28">
        <x:v>46141</x:v>
      </x:c>
      <x:c r="F21" s="84"/>
      <x:c r="G21" s="240"/>
      <x:c r="H21" s="241"/>
      <x:c r="I21" s="241"/>
      <x:c r="J21" s="241"/>
      <x:c r="K21" s="242"/>
      <x:c r="L21" s="88"/>
      <x:c r="M21" s="97"/>
      <x:c r="N21" s="85"/>
      <x:c r="O21" s="38"/>
      <x:c r="P21" s="38"/>
      <x:c r="Q21" s="38"/>
      <x:c r="R21" s="38"/>
      <x:c r="S21" s="38"/>
    </x:row>
    <x:row r="22" ht="15.949999809265137" customHeight="1">
      <x:c r="A22" s="35"/>
      <x:c r="B22" s="82"/>
      <x:c r="C22" s="82"/>
      <x:c r="D22" s="83"/>
      <x:c r="E22" s="83"/>
      <x:c r="F22" s="84"/>
      <x:c r="G22" s="234"/>
      <x:c r="H22" s="235"/>
      <x:c r="I22" s="235"/>
      <x:c r="J22" s="235"/>
      <x:c r="K22" s="236"/>
      <x:c r="L22" s="88"/>
      <x:c r="M22" s="97"/>
      <x:c r="N22" s="85"/>
      <x:c r="O22" s="38"/>
      <x:c r="P22" s="38"/>
      <x:c r="Q22" s="38"/>
      <x:c r="R22" s="38"/>
      <x:c r="S22" s="38"/>
    </x:row>
    <x:row r="23" ht="15.949999809265137" customHeight="1">
      <x:c r="A23" s="35"/>
      <x:c r="B23" s="82"/>
      <x:c r="C23" s="82"/>
      <x:c r="D23" s="83"/>
      <x:c r="E23" s="83"/>
      <x:c r="F23" s="84"/>
      <x:c r="G23" s="234"/>
      <x:c r="H23" s="235"/>
      <x:c r="I23" s="235"/>
      <x:c r="J23" s="235"/>
      <x:c r="K23" s="236"/>
      <x:c r="L23" s="88"/>
      <x:c r="M23" s="97"/>
      <x:c r="N23" s="85"/>
      <x:c r="O23" s="38"/>
      <x:c r="P23" s="38"/>
      <x:c r="Q23" s="38"/>
      <x:c r="R23" s="38"/>
      <x:c r="S23" s="38"/>
    </x:row>
    <x:row r="24" ht="15.949999809265137" customHeight="1">
      <x:c r="A24" s="35"/>
      <x:c r="B24" s="86"/>
      <x:c r="C24" s="86"/>
      <x:c r="D24" s="98"/>
      <x:c r="E24" s="98"/>
      <x:c r="F24" s="99"/>
      <x:c r="G24" s="234"/>
      <x:c r="H24" s="235"/>
      <x:c r="I24" s="235"/>
      <x:c r="J24" s="235"/>
      <x:c r="K24" s="236"/>
      <x:c r="L24" s="100"/>
      <x:c r="M24" s="97"/>
      <x:c r="N24" s="97"/>
      <x:c r="O24" s="38"/>
      <x:c r="P24" s="38"/>
      <x:c r="Q24" s="38"/>
      <x:c r="R24" s="38"/>
      <x:c r="S24" s="38"/>
    </x:row>
    <x:row r="25" ht="15.75" customHeight="1">
      <x:c r="A25" s="35"/>
      <x:c r="B25" s="56"/>
      <x:c r="C25" s="56"/>
      <x:c r="D25" s="44"/>
      <x:c r="E25" s="44"/>
      <x:c r="F25" s="45"/>
      <x:c r="G25" s="237"/>
      <x:c r="H25" s="237"/>
      <x:c r="I25" s="237"/>
      <x:c r="J25" s="237"/>
      <x:c r="K25" s="237"/>
      <x:c r="L25" s="47"/>
      <x:c r="M25" s="47"/>
      <x:c r="N25" s="47"/>
      <x:c r="O25" s="38"/>
      <x:c r="P25" s="38"/>
      <x:c r="Q25" s="38"/>
      <x:c r="R25" s="38"/>
      <x:c r="S25" s="38"/>
    </x:row>
    <x:row r="26" ht="21" customHeight="1">
      <x:c r="A26" s="35"/>
      <x:c r="B26" s="56"/>
      <x:c r="C26" s="56"/>
      <x:c r="D26" s="44"/>
      <x:c r="E26" s="44"/>
      <x:c r="F26" s="45"/>
      <x:c r="G26" s="243"/>
      <x:c r="H26" s="243"/>
      <x:c r="I26" s="243"/>
      <x:c r="J26" s="243"/>
      <x:c r="K26" s="243"/>
      <x:c r="L26" s="47"/>
      <x:c r="M26" s="47"/>
      <x:c r="N26" s="47"/>
      <x:c r="O26" s="38"/>
      <x:c r="P26" s="38"/>
      <x:c r="Q26" s="38"/>
      <x:c r="R26" s="38"/>
      <x:c r="S26" s="38"/>
    </x:row>
    <x:row r="27" ht="15.75" customHeight="1">
      <x:c r="A27" s="35"/>
      <x:c r="B27" s="56"/>
      <x:c r="C27" s="56"/>
      <x:c r="D27" s="44"/>
      <x:c r="E27" s="44"/>
      <x:c r="F27" s="45"/>
      <x:c r="G27" s="243"/>
      <x:c r="H27" s="243"/>
      <x:c r="I27" s="243"/>
      <x:c r="J27" s="243"/>
      <x:c r="K27" s="243"/>
      <x:c r="L27" s="47"/>
      <x:c r="M27" s="47"/>
      <x:c r="N27" s="47"/>
      <x:c r="O27" s="38"/>
      <x:c r="P27" s="38"/>
      <x:c r="Q27" s="38"/>
      <x:c r="R27" s="38"/>
      <x:c r="S27" s="38"/>
    </x:row>
    <x:row r="28" ht="15.75" customHeight="1">
      <x:c r="B28" s="56"/>
      <x:c r="C28" s="56"/>
      <x:c r="D28" s="44"/>
      <x:c r="E28" s="44"/>
      <x:c r="F28" s="45"/>
      <x:c r="G28" s="243"/>
      <x:c r="H28" s="243"/>
      <x:c r="I28" s="243"/>
      <x:c r="J28" s="243"/>
      <x:c r="K28" s="243"/>
      <x:c r="M28" s="47"/>
      <x:c r="N28" s="47"/>
    </x:row>
    <x:row r="29" ht="15.75" customHeight="1">
      <x:c r="A29" s="35"/>
      <x:c r="B29" s="56"/>
      <x:c r="C29" s="56"/>
      <x:c r="D29" s="44"/>
      <x:c r="E29" s="44"/>
      <x:c r="G29" s="244"/>
      <x:c r="H29" s="244"/>
      <x:c r="I29" s="244"/>
      <x:c r="J29" s="244"/>
      <x:c r="K29" s="244"/>
      <x:c r="M29" s="47"/>
      <x:c r="N29" s="47"/>
      <x:c r="O29" s="38"/>
      <x:c r="P29" s="38"/>
      <x:c r="Q29" s="38"/>
      <x:c r="R29" s="38"/>
      <x:c r="S29" s="38"/>
    </x:row>
    <x:row r="30" ht="15.75" customHeight="1">
      <x:c r="A30" s="35"/>
      <x:c r="B30" s="56"/>
      <x:c r="C30" s="56"/>
      <x:c r="D30" s="44"/>
      <x:c r="E30" s="44"/>
      <x:c r="G30" s="244"/>
      <x:c r="H30" s="244"/>
      <x:c r="I30" s="244"/>
      <x:c r="J30" s="244"/>
      <x:c r="K30" s="244"/>
      <x:c r="M30" s="47"/>
      <x:c r="N30" s="47"/>
      <x:c r="O30" s="38"/>
      <x:c r="P30" s="38"/>
      <x:c r="Q30" s="38"/>
      <x:c r="R30" s="38"/>
      <x:c r="S30" s="38"/>
    </x:row>
    <x:row r="31" ht="15.75" customHeight="1">
      <x:c r="L31" s="36"/>
      <x:c r="M31" s="36"/>
    </x:row>
    <x:row r="32" ht="15.75" customHeight="1">
      <x:c r="L32" s="36"/>
      <x:c r="M32" s="36"/>
    </x:row>
    <x:row r="33" ht="15.75" customHeight="1">
      <x:c r="L33" s="36"/>
      <x:c r="M33" s="36"/>
    </x:row>
    <x:row r="34" ht="15.75" customHeight="1">
      <x:c r="L34" s="36"/>
      <x:c r="M34" s="36"/>
    </x:row>
    <x:row r="35" ht="15.75" customHeight="1">
      <x:c r="L35" s="36"/>
      <x:c r="M35" s="36"/>
    </x:row>
    <x:row r="36" ht="15.75" customHeight="1">
      <x:c r="L36" s="36"/>
      <x:c r="M36" s="36"/>
    </x:row>
    <x:row r="37" ht="15.75" customHeight="1">
      <x:c r="L37" s="36"/>
      <x:c r="M37" s="36"/>
    </x:row>
    <x:row r="38" ht="15.75" customHeight="1">
      <x:c r="L38" s="36"/>
      <x:c r="M38" s="36"/>
    </x:row>
    <x:row r="39" ht="15.75" customHeight="1">
      <x:c r="L39" s="36"/>
      <x:c r="M39" s="36"/>
    </x:row>
    <x:row r="40" ht="15.75" customHeight="1">
      <x:c r="L40" s="36"/>
      <x:c r="M40" s="36"/>
    </x:row>
    <x:row r="41" ht="15.75" customHeight="1">
      <x:c r="L41" s="36"/>
      <x:c r="M41" s="36"/>
    </x:row>
    <x:row r="42" ht="15.75" customHeight="1">
      <x:c r="L42" s="36"/>
      <x:c r="M42" s="36"/>
    </x:row>
    <x:row r="43" ht="15.75" customHeight="1">
      <x:c r="L43" s="36"/>
      <x:c r="M43" s="36"/>
    </x:row>
    <x:row r="44" ht="15.75" customHeight="1">
      <x:c r="L44" s="36"/>
      <x:c r="M44" s="36"/>
    </x:row>
    <x:row r="45" ht="15.75" customHeight="1">
      <x:c r="L45" s="36"/>
      <x:c r="M45" s="36"/>
    </x:row>
    <x:row r="46" ht="15.75" customHeight="1">
      <x:c r="L46" s="36"/>
      <x:c r="M46" s="36"/>
    </x:row>
    <x:row r="47" ht="15.75" customHeight="1">
      <x:c r="L47" s="36"/>
      <x:c r="M47" s="36"/>
    </x:row>
    <x:row r="48" ht="15.75" customHeight="1">
      <x:c r="L48" s="36"/>
      <x:c r="M48" s="36"/>
    </x:row>
    <x:row r="49" ht="15.75" customHeight="1">
      <x:c r="L49" s="36"/>
      <x:c r="M49" s="36"/>
    </x:row>
    <x:row r="50" ht="15.75" customHeight="1">
      <x:c r="L50" s="36"/>
      <x:c r="M50" s="36"/>
    </x:row>
    <x:row r="51" ht="15.75" customHeight="1">
      <x:c r="L51" s="36"/>
      <x:c r="M51" s="36"/>
    </x:row>
    <x:row r="52" ht="15.75" customHeight="1">
      <x:c r="L52" s="36"/>
      <x:c r="M52" s="36"/>
    </x:row>
    <x:row r="53" ht="15.75" customHeight="1">
      <x:c r="L53" s="36"/>
      <x:c r="M53" s="36"/>
    </x:row>
    <x:row r="54" ht="15.75" customHeight="1">
      <x:c r="L54" s="36"/>
      <x:c r="M54" s="36"/>
    </x:row>
    <x:row r="55" ht="15.75" customHeight="1">
      <x:c r="L55" s="36"/>
      <x:c r="M55" s="36"/>
    </x:row>
    <x:row r="56" ht="15.75" customHeight="1">
      <x:c r="L56" s="36"/>
      <x:c r="M56" s="36"/>
    </x:row>
    <x:row r="57" ht="15.75" customHeight="1">
      <x:c r="L57" s="36"/>
      <x:c r="M57" s="36"/>
    </x:row>
    <x:row r="58" ht="15.75" customHeight="1">
      <x:c r="L58" s="36"/>
      <x:c r="M58" s="36"/>
    </x:row>
    <x:row r="59" ht="15.75" customHeight="1">
      <x:c r="L59" s="36"/>
      <x:c r="M59" s="36"/>
    </x:row>
    <x:row r="60" ht="15.75" customHeight="1">
      <x:c r="L60" s="36"/>
      <x:c r="M60" s="36"/>
    </x:row>
    <x:row r="61" ht="15.75" customHeight="1">
      <x:c r="L61" s="36"/>
      <x:c r="M61" s="36"/>
    </x:row>
    <x:row r="62" ht="15.75" customHeight="1">
      <x:c r="L62" s="36"/>
      <x:c r="M62" s="36"/>
    </x:row>
    <x:row r="63" ht="15.75" customHeight="1">
      <x:c r="L63" s="36"/>
      <x:c r="M63" s="36"/>
    </x:row>
    <x:row r="64" ht="15.75" customHeight="1">
      <x:c r="L64" s="36"/>
      <x:c r="M64" s="36"/>
    </x:row>
    <x:row r="65" ht="15.75" customHeight="1">
      <x:c r="L65" s="36"/>
      <x:c r="M65" s="36"/>
    </x:row>
    <x:row r="66" ht="15.75" customHeight="1">
      <x:c r="L66" s="36"/>
      <x:c r="M66" s="36"/>
    </x:row>
    <x:row r="67" ht="15.75" customHeight="1">
      <x:c r="L67" s="36"/>
      <x:c r="M67" s="36"/>
    </x:row>
    <x:row r="68" ht="15.75" customHeight="1">
      <x:c r="L68" s="36"/>
      <x:c r="M68" s="36"/>
    </x:row>
    <x:row r="69" ht="15.75" customHeight="1">
      <x:c r="L69" s="36"/>
      <x:c r="M69" s="36"/>
    </x:row>
    <x:row r="70" ht="15.75" customHeight="1">
      <x:c r="L70" s="36"/>
      <x:c r="M70" s="36"/>
    </x:row>
    <x:row r="71" ht="15.75" customHeight="1">
      <x:c r="L71" s="36"/>
      <x:c r="M71" s="36"/>
    </x:row>
    <x:row r="72" ht="15.75" customHeight="1">
      <x:c r="L72" s="36"/>
      <x:c r="M72" s="36"/>
    </x:row>
    <x:row r="73" ht="15.75" customHeight="1">
      <x:c r="L73" s="36"/>
      <x:c r="M73" s="36"/>
    </x:row>
    <x:row r="74" ht="15.75" customHeight="1">
      <x:c r="L74" s="36"/>
      <x:c r="M74" s="36"/>
    </x:row>
    <x:row r="75" ht="15.75" customHeight="1">
      <x:c r="L75" s="36"/>
      <x:c r="M75" s="36"/>
    </x:row>
    <x:row r="76" ht="15.75" customHeight="1">
      <x:c r="L76" s="36"/>
      <x:c r="M76" s="36"/>
    </x:row>
    <x:row r="77" ht="15.75" customHeight="1">
      <x:c r="L77" s="36"/>
      <x:c r="M77" s="36"/>
    </x:row>
    <x:row r="78" ht="15.75" customHeight="1">
      <x:c r="L78" s="36"/>
      <x:c r="M78" s="36"/>
    </x:row>
    <x:row r="79" ht="15.75" customHeight="1">
      <x:c r="L79" s="36"/>
      <x:c r="M79" s="36"/>
    </x:row>
    <x:row r="80" ht="15.75" customHeight="1">
      <x:c r="L80" s="36"/>
      <x:c r="M80" s="36"/>
    </x:row>
    <x:row r="81" ht="15.75" customHeight="1">
      <x:c r="L81" s="36"/>
      <x:c r="M81" s="36"/>
    </x:row>
    <x:row r="82" ht="15.75" customHeight="1">
      <x:c r="L82" s="36"/>
      <x:c r="M82" s="36"/>
    </x:row>
    <x:row r="83" ht="15.75" customHeight="1">
      <x:c r="L83" s="36"/>
      <x:c r="M83" s="36"/>
    </x:row>
    <x:row r="84" ht="15.75" customHeight="1">
      <x:c r="L84" s="36"/>
      <x:c r="M84" s="36"/>
    </x:row>
    <x:row r="85" ht="15.75" customHeight="1">
      <x:c r="L85" s="36"/>
      <x:c r="M85" s="36"/>
    </x:row>
    <x:row r="86" ht="15.75" customHeight="1">
      <x:c r="L86" s="36"/>
      <x:c r="M86" s="36"/>
    </x:row>
    <x:row r="87" ht="15.75" customHeight="1">
      <x:c r="L87" s="36"/>
      <x:c r="M87" s="36"/>
    </x:row>
    <x:row r="88" ht="15.75" customHeight="1">
      <x:c r="L88" s="36"/>
      <x:c r="M88" s="36"/>
    </x:row>
    <x:row r="89" ht="15.75" customHeight="1">
      <x:c r="L89" s="36"/>
      <x:c r="M89" s="36"/>
    </x:row>
    <x:row r="90" ht="15.75" customHeight="1">
      <x:c r="L90" s="36"/>
      <x:c r="M90" s="36"/>
    </x:row>
    <x:row r="91" ht="15.75" customHeight="1">
      <x:c r="L91" s="36"/>
      <x:c r="M91" s="36"/>
    </x:row>
    <x:row r="92" ht="15.75" customHeight="1">
      <x:c r="L92" s="36"/>
      <x:c r="M92" s="36"/>
    </x:row>
    <x:row r="93" ht="15.75" customHeight="1">
      <x:c r="L93" s="36"/>
      <x:c r="M93" s="36"/>
    </x:row>
    <x:row r="94" ht="15.75" customHeight="1">
      <x:c r="L94" s="36"/>
      <x:c r="M94" s="36"/>
    </x:row>
    <x:row r="95" ht="15.75" customHeight="1">
      <x:c r="L95" s="36"/>
      <x:c r="M95" s="36"/>
    </x:row>
    <x:row r="96" ht="15.75" customHeight="1">
      <x:c r="L96" s="36"/>
      <x:c r="M96" s="36"/>
    </x:row>
    <x:row r="97" ht="15.75" customHeight="1">
      <x:c r="L97" s="36"/>
      <x:c r="M97" s="36"/>
    </x:row>
    <x:row r="98" ht="15.75" customHeight="1">
      <x:c r="L98" s="36"/>
      <x:c r="M98" s="36"/>
    </x:row>
    <x:row r="99" ht="15.75" customHeight="1">
      <x:c r="L99" s="36"/>
      <x:c r="M99" s="36"/>
    </x:row>
    <x:row r="100" ht="15.75" customHeight="1">
      <x:c r="L100" s="36"/>
      <x:c r="M100" s="36"/>
    </x:row>
    <x:row r="101" ht="15.75" customHeight="1">
      <x:c r="L101" s="36"/>
      <x:c r="M101" s="36"/>
    </x:row>
    <x:row r="102" ht="15.75" customHeight="1">
      <x:c r="L102" s="36"/>
      <x:c r="M102" s="36"/>
    </x:row>
    <x:row r="103" ht="15.75" customHeight="1">
      <x:c r="L103" s="36"/>
      <x:c r="M103" s="36"/>
    </x:row>
    <x:row r="104" ht="15.75" customHeight="1">
      <x:c r="L104" s="36"/>
      <x:c r="M104" s="36"/>
    </x:row>
    <x:row r="105" ht="15.75" customHeight="1">
      <x:c r="L105" s="36"/>
      <x:c r="M105" s="36"/>
    </x:row>
    <x:row r="106" ht="15.75" customHeight="1">
      <x:c r="L106" s="36"/>
      <x:c r="M106" s="36"/>
    </x:row>
    <x:row r="107" ht="15.75" customHeight="1">
      <x:c r="L107" s="36"/>
      <x:c r="M107" s="36"/>
    </x:row>
    <x:row r="108" ht="15.75" customHeight="1">
      <x:c r="L108" s="36"/>
      <x:c r="M108" s="36"/>
    </x:row>
    <x:row r="109" ht="15.75" customHeight="1">
      <x:c r="L109" s="36"/>
      <x:c r="M109" s="36"/>
    </x:row>
    <x:row r="110" ht="15.75" customHeight="1">
      <x:c r="L110" s="36"/>
      <x:c r="M110" s="36"/>
    </x:row>
    <x:row r="111" ht="15.75" customHeight="1">
      <x:c r="L111" s="36"/>
      <x:c r="M111" s="36"/>
    </x:row>
    <x:row r="112" ht="15.75" customHeight="1">
      <x:c r="L112" s="36"/>
      <x:c r="M112" s="36"/>
    </x:row>
    <x:row r="113" ht="15.75" customHeight="1">
      <x:c r="L113" s="36"/>
      <x:c r="M113" s="36"/>
    </x:row>
    <x:row r="114" ht="15.75" customHeight="1">
      <x:c r="L114" s="36"/>
      <x:c r="M114" s="36"/>
    </x:row>
    <x:row r="115" ht="15.75" customHeight="1">
      <x:c r="L115" s="36"/>
      <x:c r="M115" s="36"/>
    </x:row>
    <x:row r="116" ht="15.75" customHeight="1">
      <x:c r="L116" s="36"/>
      <x:c r="M116" s="36"/>
    </x:row>
    <x:row r="117" ht="15.75" customHeight="1">
      <x:c r="L117" s="36"/>
      <x:c r="M117" s="36"/>
    </x:row>
    <x:row r="118" ht="15.75" customHeight="1">
      <x:c r="L118" s="36"/>
      <x:c r="M118" s="36"/>
    </x:row>
    <x:row r="119" ht="15.75" customHeight="1">
      <x:c r="L119" s="36"/>
      <x:c r="M119" s="36"/>
    </x:row>
    <x:row r="120" ht="15.75" customHeight="1">
      <x:c r="L120" s="36"/>
      <x:c r="M120" s="36"/>
    </x:row>
    <x:row r="121" ht="15.75" customHeight="1">
      <x:c r="L121" s="36"/>
      <x:c r="M121" s="36"/>
    </x:row>
    <x:row r="122" ht="15.75" customHeight="1">
      <x:c r="L122" s="36"/>
      <x:c r="M122" s="36"/>
    </x:row>
    <x:row r="123" ht="15.75" customHeight="1">
      <x:c r="L123" s="36"/>
      <x:c r="M123" s="36"/>
    </x:row>
    <x:row r="124" ht="15.75" customHeight="1">
      <x:c r="L124" s="36"/>
      <x:c r="M124" s="36"/>
    </x:row>
    <x:row r="125" ht="15.75" customHeight="1">
      <x:c r="L125" s="36"/>
      <x:c r="M125" s="36"/>
    </x:row>
    <x:row r="126" ht="15.75" customHeight="1">
      <x:c r="L126" s="36"/>
      <x:c r="M126" s="36"/>
    </x:row>
    <x:row r="127" ht="15.75" customHeight="1">
      <x:c r="L127" s="36"/>
      <x:c r="M127" s="36"/>
    </x:row>
    <x:row r="128" ht="15.75" customHeight="1">
      <x:c r="L128" s="36"/>
      <x:c r="M128" s="36"/>
    </x:row>
    <x:row r="129" ht="15.75" customHeight="1">
      <x:c r="L129" s="36"/>
      <x:c r="M129" s="36"/>
    </x:row>
    <x:row r="130" ht="15.75" customHeight="1">
      <x:c r="L130" s="36"/>
      <x:c r="M130" s="36"/>
    </x:row>
    <x:row r="131" ht="15.75" customHeight="1">
      <x:c r="L131" s="36"/>
      <x:c r="M131" s="36"/>
    </x:row>
    <x:row r="132" ht="15.75" customHeight="1">
      <x:c r="L132" s="36"/>
      <x:c r="M132" s="36"/>
    </x:row>
    <x:row r="133" ht="15.75" customHeight="1">
      <x:c r="L133" s="36"/>
      <x:c r="M133" s="36"/>
    </x:row>
    <x:row r="134" ht="15.75" customHeight="1">
      <x:c r="L134" s="36"/>
      <x:c r="M134" s="36"/>
    </x:row>
    <x:row r="135" ht="15.75" customHeight="1">
      <x:c r="L135" s="36"/>
      <x:c r="M135" s="36"/>
    </x:row>
    <x:row r="136" ht="15.75" customHeight="1">
      <x:c r="L136" s="36"/>
      <x:c r="M136" s="36"/>
    </x:row>
    <x:row r="137" ht="15.75" customHeight="1">
      <x:c r="L137" s="36"/>
      <x:c r="M137" s="36"/>
    </x:row>
    <x:row r="138" ht="15.75" customHeight="1">
      <x:c r="L138" s="36"/>
      <x:c r="M138" s="36"/>
    </x:row>
    <x:row r="139" ht="15.75" customHeight="1">
      <x:c r="L139" s="36"/>
      <x:c r="M139" s="36"/>
    </x:row>
    <x:row r="140" ht="15.75" customHeight="1">
      <x:c r="L140" s="36"/>
      <x:c r="M140" s="36"/>
    </x:row>
    <x:row r="141" ht="15.75" customHeight="1">
      <x:c r="L141" s="36"/>
      <x:c r="M141" s="36"/>
    </x:row>
    <x:row r="142" ht="15.75" customHeight="1">
      <x:c r="L142" s="36"/>
      <x:c r="M142" s="36"/>
    </x:row>
    <x:row r="143" ht="15.75" customHeight="1">
      <x:c r="L143" s="36"/>
      <x:c r="M143" s="36"/>
    </x:row>
    <x:row r="144" ht="15.75" customHeight="1">
      <x:c r="L144" s="36"/>
      <x:c r="M144" s="36"/>
    </x:row>
    <x:row r="145" ht="15.75" customHeight="1">
      <x:c r="L145" s="36"/>
      <x:c r="M145" s="36"/>
    </x:row>
    <x:row r="146" ht="15.75" customHeight="1">
      <x:c r="L146" s="36"/>
      <x:c r="M146" s="36"/>
    </x:row>
    <x:row r="147" ht="15.75" customHeight="1">
      <x:c r="L147" s="36"/>
      <x:c r="M147" s="36"/>
    </x:row>
    <x:row r="148" ht="15.75" customHeight="1">
      <x:c r="L148" s="36"/>
      <x:c r="M148" s="36"/>
    </x:row>
    <x:row r="149" ht="15.75" customHeight="1">
      <x:c r="L149" s="36"/>
      <x:c r="M149" s="36"/>
    </x:row>
    <x:row r="150" ht="15.75" customHeight="1">
      <x:c r="L150" s="36"/>
      <x:c r="M150" s="36"/>
    </x:row>
    <x:row r="151" ht="15.75" customHeight="1">
      <x:c r="L151" s="36"/>
      <x:c r="M151" s="36"/>
    </x:row>
    <x:row r="152" ht="15.75" customHeight="1">
      <x:c r="L152" s="36"/>
      <x:c r="M152" s="36"/>
    </x:row>
    <x:row r="153" ht="15.75" customHeight="1">
      <x:c r="L153" s="36"/>
      <x:c r="M153" s="36"/>
    </x:row>
    <x:row r="154" ht="15.75" customHeight="1">
      <x:c r="L154" s="36"/>
      <x:c r="M154" s="36"/>
    </x:row>
    <x:row r="155" ht="15.75" customHeight="1">
      <x:c r="L155" s="36"/>
      <x:c r="M155" s="36"/>
    </x:row>
    <x:row r="156" ht="15.75" customHeight="1">
      <x:c r="L156" s="36"/>
      <x:c r="M156" s="36"/>
    </x:row>
    <x:row r="157" ht="15.75" customHeight="1">
      <x:c r="L157" s="36"/>
      <x:c r="M157" s="36"/>
    </x:row>
    <x:row r="158" ht="15.75" customHeight="1">
      <x:c r="L158" s="36"/>
      <x:c r="M158" s="36"/>
    </x:row>
    <x:row r="159" ht="15.75" customHeight="1">
      <x:c r="L159" s="36"/>
      <x:c r="M159" s="36"/>
    </x:row>
    <x:row r="160" ht="15.75" customHeight="1">
      <x:c r="L160" s="36"/>
      <x:c r="M160" s="36"/>
    </x:row>
    <x:row r="161" ht="15.75" customHeight="1">
      <x:c r="L161" s="36"/>
      <x:c r="M161" s="36"/>
    </x:row>
    <x:row r="162" ht="15.75" customHeight="1">
      <x:c r="L162" s="36"/>
      <x:c r="M162" s="36"/>
    </x:row>
    <x:row r="163" ht="15.75" customHeight="1">
      <x:c r="L163" s="36"/>
      <x:c r="M163" s="36"/>
    </x:row>
    <x:row r="164" ht="15.75" customHeight="1">
      <x:c r="L164" s="36"/>
      <x:c r="M164" s="36"/>
    </x:row>
    <x:row r="165" ht="15.75" customHeight="1">
      <x:c r="L165" s="36"/>
      <x:c r="M165" s="36"/>
    </x:row>
    <x:row r="166" ht="15.75" customHeight="1">
      <x:c r="L166" s="36"/>
      <x:c r="M166" s="36"/>
    </x:row>
    <x:row r="167" ht="15.75" customHeight="1">
      <x:c r="L167" s="36"/>
      <x:c r="M167" s="36"/>
    </x:row>
    <x:row r="168" ht="15.75" customHeight="1">
      <x:c r="L168" s="36"/>
      <x:c r="M168" s="36"/>
    </x:row>
    <x:row r="169" ht="15.75" customHeight="1">
      <x:c r="L169" s="36"/>
      <x:c r="M169" s="36"/>
    </x:row>
    <x:row r="170" ht="15.75" customHeight="1">
      <x:c r="L170" s="36"/>
      <x:c r="M170" s="36"/>
    </x:row>
    <x:row r="171" ht="15.75" customHeight="1">
      <x:c r="L171" s="36"/>
      <x:c r="M171" s="36"/>
    </x:row>
    <x:row r="172" ht="15.75" customHeight="1">
      <x:c r="L172" s="36"/>
      <x:c r="M172" s="36"/>
    </x:row>
    <x:row r="173" ht="15.75" customHeight="1">
      <x:c r="L173" s="36"/>
      <x:c r="M173" s="36"/>
    </x:row>
    <x:row r="174" ht="15.75" customHeight="1">
      <x:c r="L174" s="36"/>
      <x:c r="M174" s="36"/>
    </x:row>
    <x:row r="175" ht="15.75" customHeight="1">
      <x:c r="L175" s="36"/>
      <x:c r="M175" s="36"/>
    </x:row>
    <x:row r="176" ht="15.75" customHeight="1">
      <x:c r="L176" s="36"/>
      <x:c r="M176" s="36"/>
    </x:row>
    <x:row r="177" ht="15.75" customHeight="1">
      <x:c r="L177" s="36"/>
      <x:c r="M177" s="36"/>
    </x:row>
    <x:row r="178" ht="15.75" customHeight="1">
      <x:c r="L178" s="36"/>
      <x:c r="M178" s="36"/>
    </x:row>
    <x:row r="179" ht="15.75" customHeight="1">
      <x:c r="L179" s="36"/>
      <x:c r="M179" s="36"/>
    </x:row>
    <x:row r="180" ht="15.75" customHeight="1">
      <x:c r="L180" s="36"/>
      <x:c r="M180" s="36"/>
    </x:row>
    <x:row r="181" ht="15.75" customHeight="1">
      <x:c r="L181" s="36"/>
      <x:c r="M181" s="36"/>
    </x:row>
    <x:row r="182" ht="15.75" customHeight="1">
      <x:c r="L182" s="36"/>
      <x:c r="M182" s="36"/>
    </x:row>
    <x:row r="183" ht="15.75" customHeight="1">
      <x:c r="L183" s="36"/>
      <x:c r="M183" s="36"/>
    </x:row>
    <x:row r="184" ht="15.75" customHeight="1">
      <x:c r="L184" s="36"/>
      <x:c r="M184" s="36"/>
    </x:row>
    <x:row r="185" ht="15.75" customHeight="1">
      <x:c r="L185" s="36"/>
      <x:c r="M185" s="36"/>
    </x:row>
    <x:row r="186" ht="15.75" customHeight="1">
      <x:c r="L186" s="36"/>
      <x:c r="M186" s="36"/>
    </x:row>
    <x:row r="187" ht="15.75" customHeight="1">
      <x:c r="L187" s="36"/>
      <x:c r="M187" s="36"/>
    </x:row>
    <x:row r="188" ht="15.75" customHeight="1">
      <x:c r="L188" s="36"/>
      <x:c r="M188" s="36"/>
    </x:row>
    <x:row r="189" ht="15.75" customHeight="1">
      <x:c r="L189" s="36"/>
      <x:c r="M189" s="36"/>
    </x:row>
    <x:row r="190" ht="15.75" customHeight="1">
      <x:c r="L190" s="36"/>
      <x:c r="M190" s="36"/>
    </x:row>
    <x:row r="191" ht="15.75" customHeight="1">
      <x:c r="L191" s="36"/>
      <x:c r="M191" s="36"/>
    </x:row>
    <x:row r="192" ht="15.75" customHeight="1">
      <x:c r="L192" s="36"/>
      <x:c r="M192" s="36"/>
    </x:row>
    <x:row r="193" ht="15.75" customHeight="1">
      <x:c r="L193" s="36"/>
      <x:c r="M193" s="36"/>
    </x:row>
    <x:row r="194" ht="15.75" customHeight="1">
      <x:c r="L194" s="36"/>
      <x:c r="M194" s="36"/>
    </x:row>
    <x:row r="195" ht="15.75" customHeight="1">
      <x:c r="L195" s="36"/>
      <x:c r="M195" s="36"/>
    </x:row>
    <x:row r="196" ht="15.75" customHeight="1">
      <x:c r="L196" s="36"/>
      <x:c r="M196" s="36"/>
    </x:row>
    <x:row r="197" ht="15.75" customHeight="1">
      <x:c r="L197" s="36"/>
      <x:c r="M197" s="36"/>
    </x:row>
    <x:row r="198" ht="15.75" customHeight="1">
      <x:c r="L198" s="36"/>
      <x:c r="M198" s="36"/>
    </x:row>
    <x:row r="199" ht="15.75" customHeight="1">
      <x:c r="L199" s="36"/>
      <x:c r="M199" s="36"/>
    </x:row>
    <x:row r="200" ht="15.75" customHeight="1">
      <x:c r="L200" s="36"/>
      <x:c r="M200" s="36"/>
    </x:row>
    <x:row r="201" ht="15.75" customHeight="1">
      <x:c r="L201" s="36"/>
      <x:c r="M201" s="36"/>
    </x:row>
    <x:row r="202" ht="15.75" customHeight="1">
      <x:c r="L202" s="36"/>
      <x:c r="M202" s="36"/>
    </x:row>
    <x:row r="203" ht="15.75" customHeight="1">
      <x:c r="L203" s="36"/>
      <x:c r="M203" s="36"/>
    </x:row>
    <x:row r="204" ht="15.75" customHeight="1">
      <x:c r="L204" s="36"/>
      <x:c r="M204" s="36"/>
    </x:row>
    <x:row r="205" ht="15.75" customHeight="1">
      <x:c r="L205" s="36"/>
      <x:c r="M205" s="36"/>
    </x:row>
    <x:row r="206" ht="15.75" customHeight="1">
      <x:c r="L206" s="36"/>
      <x:c r="M206" s="36"/>
    </x:row>
    <x:row r="207" ht="15.75" customHeight="1">
      <x:c r="L207" s="36"/>
      <x:c r="M207" s="36"/>
    </x:row>
    <x:row r="208" ht="15.75" customHeight="1">
      <x:c r="L208" s="36"/>
      <x:c r="M208" s="36"/>
    </x:row>
    <x:row r="209" ht="15.75" customHeight="1">
      <x:c r="L209" s="36"/>
      <x:c r="M209" s="36"/>
    </x:row>
    <x:row r="210" ht="15.75" customHeight="1">
      <x:c r="L210" s="36"/>
      <x:c r="M210" s="36"/>
    </x:row>
    <x:row r="211" ht="15.75" customHeight="1">
      <x:c r="L211" s="36"/>
      <x:c r="M211" s="36"/>
    </x:row>
    <x:row r="212" ht="15.75" customHeight="1">
      <x:c r="L212" s="36"/>
      <x:c r="M212" s="36"/>
    </x:row>
    <x:row r="213" ht="15.75" customHeight="1">
      <x:c r="L213" s="36"/>
      <x:c r="M213" s="36"/>
    </x:row>
    <x:row r="214" ht="15.75" customHeight="1">
      <x:c r="L214" s="36"/>
      <x:c r="M214" s="36"/>
    </x:row>
    <x:row r="215" ht="15.75" customHeight="1">
      <x:c r="L215" s="36"/>
      <x:c r="M215" s="36"/>
    </x:row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26:K26"/>
    <x:mergeCell ref="G27:K27"/>
    <x:mergeCell ref="G28:K28"/>
    <x:mergeCell ref="G29:K29"/>
    <x:mergeCell ref="G30:K30"/>
    <x:mergeCell ref="G14:K14"/>
    <x:mergeCell ref="G15:K15"/>
    <x:mergeCell ref="G25:K25"/>
    <x:mergeCell ref="G16:K16"/>
    <x:mergeCell ref="G17:K17"/>
    <x:mergeCell ref="B20:K20"/>
    <x:mergeCell ref="G21:K21"/>
    <x:mergeCell ref="G22:K22"/>
    <x:mergeCell ref="G23:K23"/>
    <x:mergeCell ref="G24:K24"/>
    <x:mergeCell ref="G8:K8"/>
    <x:mergeCell ref="G9:K9"/>
    <x:mergeCell ref="G10:K10"/>
    <x:mergeCell ref="G11:K11"/>
    <x:mergeCell ref="G13:K13"/>
    <x:mergeCell ref="G12:K12"/>
    <x:mergeCell ref="G5:K5"/>
    <x:mergeCell ref="B2:F2"/>
    <x:mergeCell ref="I2:M2"/>
    <x:mergeCell ref="B4:N4"/>
    <x:mergeCell ref="G7:K7"/>
  </x:mergeCells>
  <x:conditionalFormatting sqref="N20:N20 N25:N30">
    <x:cfRule type="cellIs" dxfId="3" priority="4" operator="equal">
      <x:formula>"미완료"</x:formula>
    </x:cfRule>
  </x:conditionalFormatting>
  <x:conditionalFormatting sqref="N25:N1000 N18:N19 N1:N14">
    <x:cfRule type="cellIs" dxfId="2" priority="1" operator="equal">
      <x:formula>"Drop"</x:formula>
    </x:cfRule>
    <x:cfRule type="cellIs" dxfId="1" priority="5" operator="equal">
      <x:formula>"공사진행 중"</x:formula>
    </x:cfRule>
  </x:conditionalFormatting>
  <x:conditionalFormatting sqref="N21:N24">
    <x:cfRule type="cellIs" dxfId="0" priority="2" operator="equal">
      <x:formula>"미완료"</x:formula>
    </x:cfRule>
  </x:conditionalFormatting>
  <x:dataValidations count="8">
    <x:dataValidation type="list" allowBlank="1" showErrorMessage="1" sqref="N7:N14 N21:N24 N18">
      <x:formula1>$P$11:$P$14</x:formula1>
    </x:dataValidation>
    <x:dataValidation type="list" allowBlank="1" sqref="B22:B24 B7:B14">
      <x:formula1>$P$3:$P$8</x:formula1>
    </x:dataValidation>
    <x:dataValidation type="list" allowBlank="1" sqref="B18">
      <x:formula1>$P$3:$P$6</x:formula1>
    </x:dataValidation>
    <x:dataValidation type="list" allowBlank="1" sqref="C8:C10 C22:C24 C18 C12:C14">
      <x:formula1>$R$3:$R$6</x:formula1>
    </x:dataValidation>
    <x:dataValidation type="list" allowBlank="1" sqref="B21">
      <x:formula1>$Q$3:$Q$11</x:formula1>
    </x:dataValidation>
    <x:dataValidation type="list" allowBlank="1" sqref="C7 C21 C11">
      <x:formula1>$S$3:$S$6</x:formula1>
    </x:dataValidation>
    <x:dataValidation type="list" allowBlank="1" showErrorMessage="1" sqref="N25:N30">
      <x:formula1>#REF!</x:formula1>
    </x:dataValidation>
    <x:dataValidation type="list" allowBlank="1" sqref="B25:C30">
      <x:formula1>#REF!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3.5"/>
  <x:cols>
    <x:col min="1" max="1" width="9.140625" style="140" customWidth="0"/>
    <x:col min="2" max="2" width="12.140625" style="140" customWidth="1"/>
    <x:col min="3" max="3" width="38.5703125" style="139" customWidth="1"/>
    <x:col min="4" max="15" width="17.42578125" style="139" customWidth="1"/>
    <x:col min="16" max="16" width="16.5703125" style="139" customWidth="1"/>
    <x:col min="17" max="17" width="17.42578125" style="139" customWidth="1"/>
    <x:col min="18" max="16384" width="9.140625" style="139" customWidth="0"/>
  </x:cols>
  <x:sheetData>
    <x:row r="1" ht="14.25"/>
    <x:row r="2" ht="12.75" customHeight="1">
      <x:c r="B2" s="245" t="s">
        <x:v>116</x:v>
      </x:c>
      <x:c r="C2" s="246"/>
      <x:c r="D2" s="246"/>
      <x:c r="E2" s="246"/>
      <x:c r="F2" s="246"/>
      <x:c r="G2" s="246"/>
      <x:c r="H2" s="246"/>
      <x:c r="I2" s="246"/>
      <x:c r="J2" s="246"/>
      <x:c r="K2" s="246"/>
      <x:c r="L2" s="246"/>
      <x:c r="M2" s="246"/>
      <x:c r="N2" s="246"/>
      <x:c r="O2" s="246"/>
      <x:c r="P2" s="246"/>
      <x:c r="Q2" s="247"/>
    </x:row>
    <x:row r="3" ht="12.75" customHeight="1">
      <x:c r="B3" s="248"/>
      <x:c r="C3" s="249"/>
      <x:c r="D3" s="249"/>
      <x:c r="E3" s="249"/>
      <x:c r="F3" s="249"/>
      <x:c r="G3" s="249"/>
      <x:c r="H3" s="249"/>
      <x:c r="I3" s="249"/>
      <x:c r="J3" s="249"/>
      <x:c r="K3" s="249"/>
      <x:c r="L3" s="249"/>
      <x:c r="M3" s="249"/>
      <x:c r="N3" s="249"/>
      <x:c r="O3" s="249"/>
      <x:c r="P3" s="249"/>
      <x:c r="Q3" s="250"/>
    </x:row>
    <x:row r="4" ht="13.5" customHeight="1">
      <x:c r="B4" s="251"/>
      <x:c r="C4" s="252"/>
      <x:c r="D4" s="252"/>
      <x:c r="E4" s="252"/>
      <x:c r="F4" s="252"/>
      <x:c r="G4" s="252"/>
      <x:c r="H4" s="252"/>
      <x:c r="I4" s="252"/>
      <x:c r="J4" s="252"/>
      <x:c r="K4" s="252"/>
      <x:c r="L4" s="252"/>
      <x:c r="M4" s="252"/>
      <x:c r="N4" s="252"/>
      <x:c r="O4" s="252"/>
      <x:c r="P4" s="252"/>
      <x:c r="Q4" s="253"/>
    </x:row>
    <x:row r="5" s="151" customFormat="1" ht="20.25">
      <x:c r="A5" s="132"/>
      <x:c r="B5" s="153" t="s">
        <x:v>117</x:v>
      </x:c>
      <x:c r="C5" s="153" t="s">
        <x:v>118</x:v>
      </x:c>
      <x:c r="D5" s="154" t="s">
        <x:v>119</x:v>
      </x:c>
      <x:c r="E5" s="154" t="s">
        <x:v>120</x:v>
      </x:c>
      <x:c r="F5" s="154" t="s">
        <x:v>121</x:v>
      </x:c>
      <x:c r="G5" s="154" t="s">
        <x:v>122</x:v>
      </x:c>
      <x:c r="H5" s="154" t="s">
        <x:v>123</x:v>
      </x:c>
      <x:c r="I5" s="154" t="s">
        <x:v>124</x:v>
      </x:c>
      <x:c r="J5" s="154" t="s">
        <x:v>125</x:v>
      </x:c>
      <x:c r="K5" s="154" t="s">
        <x:v>126</x:v>
      </x:c>
      <x:c r="L5" s="154" t="s">
        <x:v>127</x:v>
      </x:c>
      <x:c r="M5" s="154" t="s">
        <x:v>128</x:v>
      </x:c>
      <x:c r="N5" s="154" t="s">
        <x:v>129</x:v>
      </x:c>
      <x:c r="O5" s="154" t="s">
        <x:v>130</x:v>
      </x:c>
      <x:c r="P5" s="153" t="s">
        <x:v>131</x:v>
      </x:c>
      <x:c r="Q5" s="153" t="s">
        <x:v>132</x:v>
      </x:c>
    </x:row>
    <x:row r="6" ht="20.25">
      <x:c r="B6" s="143">
        <x:v>1</x:v>
      </x:c>
      <x:c r="C6" s="144" t="s">
        <x:v>133</x:v>
      </x:c>
      <x:c r="D6" s="152"/>
      <x:c r="E6" s="152"/>
      <x:c r="F6" s="152"/>
      <x:c r="G6" s="152"/>
      <x:c r="H6" s="152"/>
      <x:c r="I6" s="152"/>
      <x:c r="J6" s="152"/>
      <x:c r="K6" s="152"/>
      <x:c r="L6" s="152"/>
      <x:c r="M6" s="152"/>
      <x:c r="N6" s="152"/>
      <x:c r="O6" s="152"/>
      <x:c r="P6" s="152" t="n">
        <x:f>SUM(D6:O6)</x:f>
        <x:v>0</x:v>
      </x:c>
      <x:c r="Q6" s="145" t="n">
        <x:f>'AS 1~10'!N12</x:f>
        <x:v>0</x:v>
      </x:c>
    </x:row>
    <x:row r="7" ht="20.25">
      <x:c r="B7" s="143">
        <x:v>2</x:v>
      </x:c>
      <x:c r="C7" s="144" t="s">
        <x:v>134</x:v>
      </x:c>
      <x:c r="D7" s="152"/>
      <x:c r="E7" s="152"/>
      <x:c r="F7" s="152"/>
      <x:c r="G7" s="152"/>
      <x:c r="H7" s="152"/>
      <x:c r="I7" s="152"/>
      <x:c r="J7" s="152"/>
      <x:c r="K7" s="152"/>
      <x:c r="L7" s="152"/>
      <x:c r="M7" s="152"/>
      <x:c r="N7" s="152"/>
      <x:c r="O7" s="152"/>
      <x:c r="P7" s="152" t="n">
        <x:f t="shared" ref="P7:P50" si="0">SUM(D7:O7)</x:f>
        <x:v>0</x:v>
      </x:c>
      <x:c r="Q7" s="145" t="n">
        <x:f>'AS 1~10'!N20</x:f>
        <x:v>0</x:v>
      </x:c>
    </x:row>
    <x:row r="8" ht="20.25">
      <x:c r="B8" s="143">
        <x:v>3</x:v>
      </x:c>
      <x:c r="C8" s="144" t="s">
        <x:v>135</x:v>
      </x:c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2"/>
      <x:c r="P8" s="152">
        <x:f t="shared" si="0"/>
        <x:v>0</x:v>
      </x:c>
      <x:c r="Q8" s="145" t="n">
        <x:f>'AS 1~10'!N28</x:f>
        <x:v>0</x:v>
      </x:c>
    </x:row>
    <x:row r="9" ht="20.25">
      <x:c r="B9" s="143">
        <x:v>4</x:v>
      </x:c>
      <x:c r="C9" s="144" t="s">
        <x:v>136</x:v>
      </x:c>
      <x:c r="D9" s="152"/>
      <x:c r="E9" s="152"/>
      <x:c r="F9" s="152"/>
      <x:c r="G9" s="152"/>
      <x:c r="H9" s="152"/>
      <x:c r="I9" s="152"/>
      <x:c r="J9" s="152"/>
      <x:c r="K9" s="152"/>
      <x:c r="L9" s="152"/>
      <x:c r="M9" s="152"/>
      <x:c r="N9" s="152"/>
      <x:c r="O9" s="152"/>
      <x:c r="P9" s="152">
        <x:f t="shared" si="0"/>
        <x:v>0</x:v>
      </x:c>
      <x:c r="Q9" s="145" t="n">
        <x:f>'AS 1~10'!N36</x:f>
        <x:v>0</x:v>
      </x:c>
    </x:row>
    <x:row r="10" ht="20.25">
      <x:c r="B10" s="143">
        <x:v>5</x:v>
      </x:c>
      <x:c r="C10" s="144" t="s">
        <x:v>137</x:v>
      </x:c>
      <x:c r="D10" s="152"/>
      <x:c r="E10" s="152"/>
      <x:c r="F10" s="152"/>
      <x:c r="G10" s="152"/>
      <x:c r="H10" s="152"/>
      <x:c r="I10" s="152"/>
      <x:c r="J10" s="152"/>
      <x:c r="K10" s="152"/>
      <x:c r="L10" s="152"/>
      <x:c r="M10" s="152"/>
      <x:c r="N10" s="152"/>
      <x:c r="O10" s="152"/>
      <x:c r="P10" s="152">
        <x:f t="shared" si="0"/>
        <x:v>0</x:v>
      </x:c>
      <x:c r="Q10" s="145" t="n">
        <x:f>'AS 1~10'!N44</x:f>
        <x:v>0</x:v>
      </x:c>
    </x:row>
    <x:row r="11" ht="20.25">
      <x:c r="B11" s="143">
        <x:v>6</x:v>
      </x:c>
      <x:c r="C11" s="144" t="s">
        <x:v>138</x:v>
      </x:c>
      <x:c r="D11" s="152"/>
      <x:c r="E11" s="152"/>
      <x:c r="F11" s="152"/>
      <x:c r="G11" s="152"/>
      <x:c r="H11" s="152"/>
      <x:c r="I11" s="152"/>
      <x:c r="J11" s="152"/>
      <x:c r="K11" s="152"/>
      <x:c r="L11" s="152"/>
      <x:c r="M11" s="152"/>
      <x:c r="N11" s="152"/>
      <x:c r="O11" s="152"/>
      <x:c r="P11" s="152">
        <x:f t="shared" si="0"/>
        <x:v>0</x:v>
      </x:c>
      <x:c r="Q11" s="145" t="n">
        <x:f>'AS 1~10'!N52</x:f>
        <x:v>0</x:v>
      </x:c>
    </x:row>
    <x:row r="12" ht="20.25">
      <x:c r="B12" s="143">
        <x:v>7</x:v>
      </x:c>
      <x:c r="C12" s="144" t="s">
        <x:v>139</x:v>
      </x:c>
      <x:c r="D12" s="152"/>
      <x:c r="E12" s="152"/>
      <x:c r="F12" s="152"/>
      <x:c r="G12" s="152"/>
      <x:c r="H12" s="152"/>
      <x:c r="I12" s="152"/>
      <x:c r="J12" s="152"/>
      <x:c r="K12" s="152"/>
      <x:c r="L12" s="152"/>
      <x:c r="M12" s="152"/>
      <x:c r="N12" s="152"/>
      <x:c r="O12" s="152"/>
      <x:c r="P12" s="152">
        <x:f t="shared" si="0"/>
        <x:v>0</x:v>
      </x:c>
      <x:c r="Q12" s="145" t="n">
        <x:f>'AS 1~10'!N60</x:f>
        <x:v>0</x:v>
      </x:c>
    </x:row>
    <x:row r="13" ht="20.25">
      <x:c r="B13" s="143">
        <x:v>8</x:v>
      </x:c>
      <x:c r="C13" s="144" t="s">
        <x:v>140</x:v>
      </x:c>
      <x:c r="D13" s="152"/>
      <x:c r="E13" s="152"/>
      <x:c r="F13" s="152"/>
      <x:c r="G13" s="152"/>
      <x:c r="H13" s="152"/>
      <x:c r="I13" s="152"/>
      <x:c r="J13" s="152"/>
      <x:c r="K13" s="152"/>
      <x:c r="L13" s="152"/>
      <x:c r="M13" s="152"/>
      <x:c r="N13" s="152"/>
      <x:c r="O13" s="152"/>
      <x:c r="P13" s="152">
        <x:f t="shared" si="0"/>
        <x:v>0</x:v>
      </x:c>
      <x:c r="Q13" s="145" t="n">
        <x:f>'AS 1~10'!N68</x:f>
        <x:v>0</x:v>
      </x:c>
    </x:row>
    <x:row r="14" ht="20.25">
      <x:c r="B14" s="143">
        <x:v>9</x:v>
      </x:c>
      <x:c r="C14" s="144" t="s">
        <x:v>141</x:v>
      </x:c>
      <x:c r="D14" s="152"/>
      <x:c r="E14" s="152"/>
      <x:c r="F14" s="152"/>
      <x:c r="G14" s="152">
        <x:v>385000</x:v>
      </x:c>
      <x:c r="H14" s="152"/>
      <x:c r="I14" s="152"/>
      <x:c r="J14" s="152"/>
      <x:c r="K14" s="152"/>
      <x:c r="L14" s="152"/>
      <x:c r="M14" s="152"/>
      <x:c r="N14" s="152"/>
      <x:c r="O14" s="152"/>
      <x:c r="P14" s="152">
        <x:f t="shared" si="0"/>
        <x:v>385000</x:v>
      </x:c>
      <x:c r="Q14" s="145" t="n">
        <x:f>'AS 1~10'!N76</x:f>
        <x:v>385000</x:v>
      </x:c>
    </x:row>
    <x:row r="15" ht="20.25">
      <x:c r="B15" s="143">
        <x:v>10</x:v>
      </x:c>
      <x:c r="C15" s="144" t="s">
        <x:v>142</x:v>
      </x:c>
      <x:c r="D15" s="152"/>
      <x:c r="E15" s="152"/>
      <x:c r="F15" s="152"/>
      <x:c r="G15" s="152"/>
      <x:c r="H15" s="152"/>
      <x:c r="I15" s="152"/>
      <x:c r="J15" s="152"/>
      <x:c r="K15" s="152"/>
      <x:c r="L15" s="152"/>
      <x:c r="M15" s="152"/>
      <x:c r="N15" s="152"/>
      <x:c r="O15" s="152"/>
      <x:c r="P15" s="152">
        <x:f t="shared" si="0"/>
        <x:v>0</x:v>
      </x:c>
      <x:c r="Q15" s="145" t="n">
        <x:f>'AS 1~10'!N84</x:f>
        <x:v>0</x:v>
      </x:c>
    </x:row>
    <x:row r="16" ht="20.25">
      <x:c r="B16" s="142">
        <x:v>11</x:v>
      </x:c>
      <x:c r="C16" s="146" t="s">
        <x:v>143</x:v>
      </x:c>
      <x:c r="D16" s="152"/>
      <x:c r="E16" s="152"/>
      <x:c r="F16" s="152"/>
      <x:c r="G16" s="152"/>
      <x:c r="H16" s="152"/>
      <x:c r="I16" s="152"/>
      <x:c r="J16" s="152"/>
      <x:c r="K16" s="152"/>
      <x:c r="L16" s="152"/>
      <x:c r="M16" s="152"/>
      <x:c r="N16" s="152"/>
      <x:c r="O16" s="152"/>
      <x:c r="P16" s="152">
        <x:f t="shared" si="0"/>
        <x:v>0</x:v>
      </x:c>
      <x:c r="Q16" s="147" t="n">
        <x:f>'AS 11~20'!N12</x:f>
        <x:v>0</x:v>
      </x:c>
    </x:row>
    <x:row r="17" ht="20.25">
      <x:c r="B17" s="142">
        <x:v>12</x:v>
      </x:c>
      <x:c r="C17" s="146" t="s">
        <x:v>144</x:v>
      </x:c>
      <x:c r="D17" s="152"/>
      <x:c r="E17" s="152"/>
      <x:c r="F17" s="152"/>
      <x:c r="G17" s="152"/>
      <x:c r="H17" s="152"/>
      <x:c r="I17" s="152"/>
      <x:c r="J17" s="152"/>
      <x:c r="K17" s="152"/>
      <x:c r="L17" s="152"/>
      <x:c r="M17" s="152"/>
      <x:c r="N17" s="152"/>
      <x:c r="O17" s="152"/>
      <x:c r="P17" s="152">
        <x:f t="shared" si="0"/>
        <x:v>0</x:v>
      </x:c>
      <x:c r="Q17" s="147" t="n">
        <x:f>'AS 11~20'!N20</x:f>
        <x:v>0</x:v>
      </x:c>
    </x:row>
    <x:row r="18" ht="20.25">
      <x:c r="B18" s="142">
        <x:v>13</x:v>
      </x:c>
      <x:c r="C18" s="146" t="s">
        <x:v>145</x:v>
      </x:c>
      <x:c r="D18" s="152"/>
      <x:c r="E18" s="152"/>
      <x:c r="F18" s="152"/>
      <x:c r="G18" s="152"/>
      <x:c r="H18" s="152"/>
      <x:c r="I18" s="152"/>
      <x:c r="J18" s="152"/>
      <x:c r="K18" s="152"/>
      <x:c r="L18" s="152"/>
      <x:c r="M18" s="152"/>
      <x:c r="N18" s="152"/>
      <x:c r="O18" s="152"/>
      <x:c r="P18" s="152">
        <x:f t="shared" si="0"/>
        <x:v>0</x:v>
      </x:c>
      <x:c r="Q18" s="147" t="n">
        <x:f>'AS 11~20'!N28</x:f>
        <x:v>0</x:v>
      </x:c>
    </x:row>
    <x:row r="19" ht="20.25">
      <x:c r="B19" s="142">
        <x:v>14</x:v>
      </x:c>
      <x:c r="C19" s="146" t="s">
        <x:v>146</x:v>
      </x:c>
      <x:c r="D19" s="152"/>
      <x:c r="E19" s="152"/>
      <x:c r="F19" s="152"/>
      <x:c r="G19" s="152"/>
      <x:c r="H19" s="152"/>
      <x:c r="I19" s="152"/>
      <x:c r="J19" s="152"/>
      <x:c r="K19" s="152"/>
      <x:c r="L19" s="152"/>
      <x:c r="M19" s="152"/>
      <x:c r="N19" s="152"/>
      <x:c r="O19" s="152"/>
      <x:c r="P19" s="152">
        <x:f t="shared" si="0"/>
        <x:v>0</x:v>
      </x:c>
      <x:c r="Q19" s="147" t="n">
        <x:f>'AS 11~20'!N36</x:f>
        <x:v>0</x:v>
      </x:c>
    </x:row>
    <x:row r="20" ht="20.25">
      <x:c r="B20" s="142">
        <x:v>15</x:v>
      </x:c>
      <x:c r="C20" s="146" t="s">
        <x:v>147</x:v>
      </x:c>
      <x:c r="D20" s="152"/>
      <x:c r="E20" s="152"/>
      <x:c r="F20" s="152"/>
      <x:c r="G20" s="152"/>
      <x:c r="H20" s="152"/>
      <x:c r="I20" s="152"/>
      <x:c r="J20" s="152"/>
      <x:c r="K20" s="152"/>
      <x:c r="L20" s="152"/>
      <x:c r="M20" s="152"/>
      <x:c r="N20" s="152"/>
      <x:c r="O20" s="152"/>
      <x:c r="P20" s="152">
        <x:f t="shared" si="0"/>
        <x:v>0</x:v>
      </x:c>
      <x:c r="Q20" s="147" t="n">
        <x:f>'AS 11~20'!N44</x:f>
        <x:v>0</x:v>
      </x:c>
    </x:row>
    <x:row r="21" ht="20.25">
      <x:c r="B21" s="142">
        <x:v>16</x:v>
      </x:c>
      <x:c r="C21" s="146" t="s">
        <x:v>148</x:v>
      </x:c>
      <x:c r="D21" s="152"/>
      <x:c r="E21" s="152"/>
      <x:c r="F21" s="152"/>
      <x:c r="G21" s="152"/>
      <x:c r="H21" s="152"/>
      <x:c r="I21" s="152"/>
      <x:c r="J21" s="152"/>
      <x:c r="K21" s="152"/>
      <x:c r="L21" s="152"/>
      <x:c r="M21" s="152"/>
      <x:c r="N21" s="152"/>
      <x:c r="O21" s="152"/>
      <x:c r="P21" s="152">
        <x:f t="shared" si="0"/>
        <x:v>0</x:v>
      </x:c>
      <x:c r="Q21" s="147" t="n">
        <x:f>'AS 11~20'!N52</x:f>
        <x:v>0</x:v>
      </x:c>
    </x:row>
    <x:row r="22" ht="20.25">
      <x:c r="B22" s="142">
        <x:v>17</x:v>
      </x:c>
      <x:c r="C22" s="146" t="s">
        <x:v>149</x:v>
      </x:c>
      <x:c r="D22" s="152"/>
      <x:c r="E22" s="152"/>
      <x:c r="F22" s="152"/>
      <x:c r="G22" s="152"/>
      <x:c r="H22" s="152"/>
      <x:c r="I22" s="152"/>
      <x:c r="J22" s="152"/>
      <x:c r="K22" s="152"/>
      <x:c r="L22" s="152"/>
      <x:c r="M22" s="152"/>
      <x:c r="N22" s="152"/>
      <x:c r="O22" s="152"/>
      <x:c r="P22" s="152">
        <x:f t="shared" si="0"/>
        <x:v>0</x:v>
      </x:c>
      <x:c r="Q22" s="147" t="n">
        <x:f>'AS 11~20'!N60</x:f>
        <x:v>0</x:v>
      </x:c>
    </x:row>
    <x:row r="23" ht="20.25">
      <x:c r="B23" s="142">
        <x:v>18</x:v>
      </x:c>
      <x:c r="C23" s="146" t="s">
        <x:v>150</x:v>
      </x:c>
      <x:c r="D23" s="152"/>
      <x:c r="E23" s="152"/>
      <x:c r="F23" s="152"/>
      <x:c r="G23" s="152"/>
      <x:c r="H23" s="152"/>
      <x:c r="I23" s="152"/>
      <x:c r="J23" s="152"/>
      <x:c r="K23" s="152"/>
      <x:c r="L23" s="152"/>
      <x:c r="M23" s="152"/>
      <x:c r="N23" s="152"/>
      <x:c r="O23" s="152"/>
      <x:c r="P23" s="152">
        <x:f t="shared" si="0"/>
        <x:v>0</x:v>
      </x:c>
      <x:c r="Q23" s="147" t="n">
        <x:f>'AS 11~20'!N68</x:f>
        <x:v>0</x:v>
      </x:c>
    </x:row>
    <x:row r="24" ht="20.25">
      <x:c r="B24" s="142">
        <x:v>19</x:v>
      </x:c>
      <x:c r="C24" s="146" t="s">
        <x:v>151</x:v>
      </x:c>
      <x:c r="D24" s="152"/>
      <x:c r="E24" s="152"/>
      <x:c r="F24" s="152"/>
      <x:c r="G24" s="152"/>
      <x:c r="H24" s="152"/>
      <x:c r="I24" s="152"/>
      <x:c r="J24" s="152"/>
      <x:c r="K24" s="152"/>
      <x:c r="L24" s="152"/>
      <x:c r="M24" s="152"/>
      <x:c r="N24" s="152"/>
      <x:c r="O24" s="152"/>
      <x:c r="P24" s="152">
        <x:f t="shared" si="0"/>
        <x:v>0</x:v>
      </x:c>
      <x:c r="Q24" s="147" t="n">
        <x:f>'AS 11~20'!N76</x:f>
        <x:v>0</x:v>
      </x:c>
    </x:row>
    <x:row r="25" ht="20.25">
      <x:c r="B25" s="142">
        <x:v>20</x:v>
      </x:c>
      <x:c r="C25" s="146" t="s">
        <x:v>152</x:v>
      </x:c>
      <x:c r="D25" s="152"/>
      <x:c r="E25" s="152"/>
      <x:c r="F25" s="152"/>
      <x:c r="G25" s="152"/>
      <x:c r="H25" s="152"/>
      <x:c r="I25" s="152"/>
      <x:c r="J25" s="152"/>
      <x:c r="K25" s="152"/>
      <x:c r="L25" s="152"/>
      <x:c r="M25" s="152"/>
      <x:c r="N25" s="152"/>
      <x:c r="O25" s="152"/>
      <x:c r="P25" s="152">
        <x:f t="shared" si="0"/>
        <x:v>0</x:v>
      </x:c>
      <x:c r="Q25" s="147" t="n">
        <x:f>'AS 11~20'!N84</x:f>
        <x:v>0</x:v>
      </x:c>
    </x:row>
    <x:row r="26" ht="20.25">
      <x:c r="B26" s="148">
        <x:v>21</x:v>
      </x:c>
      <x:c r="C26" s="149" t="s">
        <x:v>153</x:v>
      </x:c>
      <x:c r="D26" s="152"/>
      <x:c r="E26" s="152"/>
      <x:c r="F26" s="152"/>
      <x:c r="G26" s="152"/>
      <x:c r="H26" s="152"/>
      <x:c r="I26" s="152"/>
      <x:c r="J26" s="152"/>
      <x:c r="K26" s="152"/>
      <x:c r="L26" s="152"/>
      <x:c r="M26" s="152"/>
      <x:c r="N26" s="152"/>
      <x:c r="O26" s="152"/>
      <x:c r="P26" s="152">
        <x:f t="shared" si="0"/>
        <x:v>0</x:v>
      </x:c>
      <x:c r="Q26" s="150" t="n">
        <x:f>'AS 21~30'!N12</x:f>
        <x:v>0</x:v>
      </x:c>
    </x:row>
    <x:row r="27" ht="20.25">
      <x:c r="B27" s="148">
        <x:v>22</x:v>
      </x:c>
      <x:c r="C27" s="149" t="s">
        <x:v>154</x:v>
      </x:c>
      <x:c r="D27" s="152"/>
      <x:c r="E27" s="152"/>
      <x:c r="F27" s="152"/>
      <x:c r="G27" s="152"/>
      <x:c r="H27" s="152"/>
      <x:c r="I27" s="152"/>
      <x:c r="J27" s="152"/>
      <x:c r="K27" s="152"/>
      <x:c r="L27" s="152"/>
      <x:c r="M27" s="152"/>
      <x:c r="N27" s="152"/>
      <x:c r="O27" s="152"/>
      <x:c r="P27" s="152">
        <x:f t="shared" si="0"/>
        <x:v>0</x:v>
      </x:c>
      <x:c r="Q27" s="150" t="n">
        <x:f>'AS 21~30'!N20</x:f>
        <x:v>0</x:v>
      </x:c>
    </x:row>
    <x:row r="28" ht="20.25">
      <x:c r="B28" s="148">
        <x:v>23</x:v>
      </x:c>
      <x:c r="C28" s="149" t="s">
        <x:v>155</x:v>
      </x:c>
      <x:c r="D28" s="152"/>
      <x:c r="E28" s="152"/>
      <x:c r="F28" s="152"/>
      <x:c r="G28" s="152"/>
      <x:c r="H28" s="152">
        <x:v>660000</x:v>
      </x:c>
      <x:c r="I28" s="152"/>
      <x:c r="J28" s="152"/>
      <x:c r="K28" s="152"/>
      <x:c r="L28" s="152"/>
      <x:c r="M28" s="152"/>
      <x:c r="N28" s="152"/>
      <x:c r="O28" s="152"/>
      <x:c r="P28" s="152">
        <x:f t="shared" si="0"/>
        <x:v>660000</x:v>
      </x:c>
      <x:c r="Q28" s="150" t="n">
        <x:f>'AS 21~30'!N28</x:f>
        <x:v>660000</x:v>
      </x:c>
    </x:row>
    <x:row r="29" ht="20.25">
      <x:c r="B29" s="148">
        <x:v>24</x:v>
      </x:c>
      <x:c r="C29" s="149" t="s">
        <x:v>156</x:v>
      </x:c>
      <x:c r="D29" s="152"/>
      <x:c r="E29" s="152"/>
      <x:c r="F29" s="152"/>
      <x:c r="G29" s="152"/>
      <x:c r="H29" s="152"/>
      <x:c r="I29" s="152"/>
      <x:c r="J29" s="152"/>
      <x:c r="K29" s="152"/>
      <x:c r="L29" s="152"/>
      <x:c r="M29" s="152"/>
      <x:c r="N29" s="152"/>
      <x:c r="O29" s="152"/>
      <x:c r="P29" s="152">
        <x:f t="shared" si="0"/>
        <x:v>0</x:v>
      </x:c>
      <x:c r="Q29" s="150" t="n">
        <x:f>'AS 21~30'!N36</x:f>
        <x:v>0</x:v>
      </x:c>
    </x:row>
    <x:row r="30" ht="20.25">
      <x:c r="B30" s="148">
        <x:v>25</x:v>
      </x:c>
      <x:c r="C30" s="149" t="s">
        <x:v>157</x:v>
      </x:c>
      <x:c r="D30" s="152"/>
      <x:c r="E30" s="152"/>
      <x:c r="F30" s="152"/>
      <x:c r="G30" s="152"/>
      <x:c r="H30" s="152"/>
      <x:c r="I30" s="152"/>
      <x:c r="J30" s="152"/>
      <x:c r="K30" s="152"/>
      <x:c r="L30" s="152"/>
      <x:c r="M30" s="152"/>
      <x:c r="N30" s="152"/>
      <x:c r="O30" s="152"/>
      <x:c r="P30" s="152">
        <x:f t="shared" si="0"/>
        <x:v>0</x:v>
      </x:c>
      <x:c r="Q30" s="150" t="n">
        <x:f>'AS 21~30'!N44</x:f>
        <x:v>0</x:v>
      </x:c>
    </x:row>
    <x:row r="31" ht="20.25">
      <x:c r="B31" s="148">
        <x:v>26</x:v>
      </x:c>
      <x:c r="C31" s="149" t="s">
        <x:v>158</x:v>
      </x:c>
      <x:c r="D31" s="152"/>
      <x:c r="E31" s="152"/>
      <x:c r="F31" s="152"/>
      <x:c r="G31" s="152"/>
      <x:c r="H31" s="152"/>
      <x:c r="I31" s="152"/>
      <x:c r="J31" s="152"/>
      <x:c r="K31" s="152"/>
      <x:c r="L31" s="152"/>
      <x:c r="M31" s="152"/>
      <x:c r="N31" s="152"/>
      <x:c r="O31" s="152"/>
      <x:c r="P31" s="152">
        <x:f t="shared" si="0"/>
        <x:v>0</x:v>
      </x:c>
      <x:c r="Q31" s="150" t="n">
        <x:f>'AS 21~30'!N52</x:f>
        <x:v>0</x:v>
      </x:c>
    </x:row>
    <x:row r="32" ht="20.25">
      <x:c r="B32" s="148">
        <x:v>27</x:v>
      </x:c>
      <x:c r="C32" s="149" t="s">
        <x:v>159</x:v>
      </x:c>
      <x:c r="D32" s="152"/>
      <x:c r="E32" s="152"/>
      <x:c r="F32" s="152"/>
      <x:c r="G32" s="152"/>
      <x:c r="H32" s="152"/>
      <x:c r="I32" s="152"/>
      <x:c r="J32" s="152"/>
      <x:c r="K32" s="152"/>
      <x:c r="L32" s="152"/>
      <x:c r="M32" s="152"/>
      <x:c r="N32" s="152"/>
      <x:c r="O32" s="152"/>
      <x:c r="P32" s="152">
        <x:f t="shared" si="0"/>
        <x:v>0</x:v>
      </x:c>
      <x:c r="Q32" s="150" t="n">
        <x:f>'AS 21~30'!N60</x:f>
        <x:v>0</x:v>
      </x:c>
    </x:row>
    <x:row r="33" ht="20.25">
      <x:c r="B33" s="148">
        <x:v>28</x:v>
      </x:c>
      <x:c r="C33" s="149" t="s">
        <x:v>160</x:v>
      </x:c>
      <x:c r="D33" s="152"/>
      <x:c r="E33" s="152"/>
      <x:c r="F33" s="152"/>
      <x:c r="G33" s="152"/>
      <x:c r="H33" s="152"/>
      <x:c r="I33" s="152"/>
      <x:c r="J33" s="152"/>
      <x:c r="K33" s="152"/>
      <x:c r="L33" s="152"/>
      <x:c r="M33" s="152"/>
      <x:c r="N33" s="152"/>
      <x:c r="O33" s="152"/>
      <x:c r="P33" s="152">
        <x:f t="shared" si="0"/>
        <x:v>0</x:v>
      </x:c>
      <x:c r="Q33" s="150" t="n">
        <x:f>'AS 21~30'!N68</x:f>
        <x:v>0</x:v>
      </x:c>
    </x:row>
    <x:row r="34" ht="20.25">
      <x:c r="B34" s="148">
        <x:v>29</x:v>
      </x:c>
      <x:c r="C34" s="149" t="s">
        <x:v>161</x:v>
      </x:c>
      <x:c r="D34" s="152"/>
      <x:c r="E34" s="152"/>
      <x:c r="F34" s="152"/>
      <x:c r="G34" s="152"/>
      <x:c r="H34" s="152"/>
      <x:c r="I34" s="152"/>
      <x:c r="J34" s="152"/>
      <x:c r="K34" s="152"/>
      <x:c r="L34" s="152"/>
      <x:c r="M34" s="152"/>
      <x:c r="N34" s="152"/>
      <x:c r="O34" s="152"/>
      <x:c r="P34" s="152">
        <x:f t="shared" si="0"/>
        <x:v>0</x:v>
      </x:c>
      <x:c r="Q34" s="150" t="n">
        <x:f>'AS 21~30'!N76</x:f>
        <x:v>0</x:v>
      </x:c>
    </x:row>
    <x:row r="35" ht="20.25">
      <x:c r="B35" s="148">
        <x:v>30</x:v>
      </x:c>
      <x:c r="C35" s="149" t="s">
        <x:v>162</x:v>
      </x:c>
      <x:c r="D35" s="152"/>
      <x:c r="E35" s="152"/>
      <x:c r="F35" s="152"/>
      <x:c r="G35" s="152">
        <x:v>385000</x:v>
      </x:c>
      <x:c r="H35" s="152"/>
      <x:c r="I35" s="152"/>
      <x:c r="J35" s="152"/>
      <x:c r="K35" s="152"/>
      <x:c r="L35" s="152"/>
      <x:c r="M35" s="152"/>
      <x:c r="N35" s="152"/>
      <x:c r="O35" s="152"/>
      <x:c r="P35" s="152">
        <x:f t="shared" si="0"/>
        <x:v>385000</x:v>
      </x:c>
      <x:c r="Q35" s="150" t="n">
        <x:f>'AS 21~30'!N84</x:f>
        <x:v>385000</x:v>
      </x:c>
    </x:row>
    <x:row r="36" ht="20.25">
      <x:c r="B36" s="142">
        <x:v>31</x:v>
      </x:c>
      <x:c r="C36" s="146" t="s">
        <x:v>163</x:v>
      </x:c>
      <x:c r="D36" s="152"/>
      <x:c r="E36" s="152"/>
      <x:c r="F36" s="152"/>
      <x:c r="G36" s="152">
        <x:v>473550</x:v>
      </x:c>
      <x:c r="H36" s="152"/>
      <x:c r="I36" s="152"/>
      <x:c r="J36" s="152"/>
      <x:c r="K36" s="152"/>
      <x:c r="L36" s="152"/>
      <x:c r="M36" s="152"/>
      <x:c r="N36" s="152"/>
      <x:c r="O36" s="152"/>
      <x:c r="P36" s="152">
        <x:f t="shared" si="0"/>
        <x:v>473550</x:v>
      </x:c>
      <x:c r="Q36" s="147" t="n">
        <x:f>'AS 31~40'!N12</x:f>
        <x:v>473550</x:v>
      </x:c>
    </x:row>
    <x:row r="37" ht="20.25">
      <x:c r="B37" s="142">
        <x:v>32</x:v>
      </x:c>
      <x:c r="C37" s="146" t="s">
        <x:v>64</x:v>
      </x:c>
      <x:c r="D37" s="152"/>
      <x:c r="E37" s="152"/>
      <x:c r="F37" s="152"/>
      <x:c r="G37" s="152"/>
      <x:c r="H37" s="152"/>
      <x:c r="I37" s="152"/>
      <x:c r="J37" s="152"/>
      <x:c r="K37" s="152"/>
      <x:c r="L37" s="152"/>
      <x:c r="M37" s="152"/>
      <x:c r="N37" s="152"/>
      <x:c r="O37" s="152"/>
      <x:c r="P37" s="152">
        <x:f t="shared" si="0"/>
        <x:v>0</x:v>
      </x:c>
      <x:c r="Q37" s="147" t="n">
        <x:f>'AS 31~40'!N20</x:f>
        <x:v>0</x:v>
      </x:c>
    </x:row>
    <x:row r="38" ht="20.25">
      <x:c r="B38" s="142">
        <x:v>33</x:v>
      </x:c>
      <x:c r="C38" s="146" t="s">
        <x:v>65</x:v>
      </x:c>
      <x:c r="D38" s="152"/>
      <x:c r="E38" s="152"/>
      <x:c r="F38" s="152"/>
      <x:c r="G38" s="152"/>
      <x:c r="H38" s="152"/>
      <x:c r="I38" s="152"/>
      <x:c r="J38" s="152"/>
      <x:c r="K38" s="152"/>
      <x:c r="L38" s="152"/>
      <x:c r="M38" s="152"/>
      <x:c r="N38" s="152"/>
      <x:c r="O38" s="152"/>
      <x:c r="P38" s="152">
        <x:f t="shared" si="0"/>
        <x:v>0</x:v>
      </x:c>
      <x:c r="Q38" s="147" t="n">
        <x:f>'AS 31~40'!N28</x:f>
        <x:v>0</x:v>
      </x:c>
    </x:row>
    <x:row r="39" ht="20.25">
      <x:c r="B39" s="142">
        <x:v>34</x:v>
      </x:c>
      <x:c r="C39" s="146" t="s">
        <x:v>66</x:v>
      </x:c>
      <x:c r="D39" s="152"/>
      <x:c r="E39" s="152"/>
      <x:c r="F39" s="152"/>
      <x:c r="G39" s="152">
        <x:v>2300000</x:v>
      </x:c>
      <x:c r="H39" s="152"/>
      <x:c r="I39" s="152"/>
      <x:c r="J39" s="152"/>
      <x:c r="K39" s="152"/>
      <x:c r="L39" s="152"/>
      <x:c r="M39" s="152"/>
      <x:c r="N39" s="152"/>
      <x:c r="O39" s="152"/>
      <x:c r="P39" s="152">
        <x:f t="shared" si="0"/>
        <x:v>2300000</x:v>
      </x:c>
      <x:c r="Q39" s="147" t="n">
        <x:f>'AS 31~40'!N36</x:f>
        <x:v>2300000</x:v>
      </x:c>
    </x:row>
    <x:row r="40" ht="20.25">
      <x:c r="B40" s="142">
        <x:v>35</x:v>
      </x:c>
      <x:c r="C40" s="146" t="s">
        <x:v>68</x:v>
      </x:c>
      <x:c r="D40" s="152"/>
      <x:c r="E40" s="152"/>
      <x:c r="F40" s="152"/>
      <x:c r="G40" s="152"/>
      <x:c r="H40" s="152"/>
      <x:c r="I40" s="152"/>
      <x:c r="J40" s="152"/>
      <x:c r="K40" s="152"/>
      <x:c r="L40" s="152"/>
      <x:c r="M40" s="152"/>
      <x:c r="N40" s="152"/>
      <x:c r="O40" s="152"/>
      <x:c r="P40" s="152">
        <x:f t="shared" si="0"/>
        <x:v>0</x:v>
      </x:c>
      <x:c r="Q40" s="147" t="n">
        <x:f>'AS 31~40'!N44</x:f>
        <x:v>0</x:v>
      </x:c>
    </x:row>
    <x:row r="41" ht="20.25">
      <x:c r="B41" s="142">
        <x:v>36</x:v>
      </x:c>
      <x:c r="C41" s="146" t="s">
        <x:v>69</x:v>
      </x:c>
      <x:c r="D41" s="152"/>
      <x:c r="E41" s="152"/>
      <x:c r="F41" s="152"/>
      <x:c r="G41" s="152"/>
      <x:c r="H41" s="152"/>
      <x:c r="I41" s="152"/>
      <x:c r="J41" s="152"/>
      <x:c r="K41" s="152"/>
      <x:c r="L41" s="152"/>
      <x:c r="M41" s="152"/>
      <x:c r="N41" s="152"/>
      <x:c r="O41" s="152"/>
      <x:c r="P41" s="152">
        <x:f t="shared" si="0"/>
        <x:v>0</x:v>
      </x:c>
      <x:c r="Q41" s="147" t="n">
        <x:f>'AS 31~40'!N52</x:f>
        <x:v>0</x:v>
      </x:c>
    </x:row>
    <x:row r="42" ht="20.25" customHeight="1">
      <x:c r="B42" s="142">
        <x:v>37</x:v>
      </x:c>
      <x:c r="C42" s="163" t="s">
        <x:v>70</x:v>
      </x:c>
      <x:c r="D42" s="164"/>
      <x:c r="E42" s="164"/>
      <x:c r="F42" s="164"/>
      <x:c r="G42" s="164"/>
      <x:c r="H42" s="164"/>
      <x:c r="I42" s="164"/>
      <x:c r="J42" s="164"/>
      <x:c r="K42" s="164"/>
      <x:c r="L42" s="164"/>
      <x:c r="M42" s="164"/>
      <x:c r="N42" s="164"/>
      <x:c r="O42" s="164"/>
      <x:c r="P42" s="152">
        <x:f t="shared" si="0"/>
        <x:v>0</x:v>
      </x:c>
      <x:c r="Q42" s="165" t="n">
        <x:f>'AS 31~40'!N60</x:f>
        <x:v>0</x:v>
      </x:c>
    </x:row>
    <x:row r="43" ht="20.25" customHeight="1">
      <x:c r="B43" s="142">
        <x:v>38</x:v>
      </x:c>
      <x:c r="C43" s="163" t="s">
        <x:v>71</x:v>
      </x:c>
      <x:c r="D43" s="164"/>
      <x:c r="E43" s="164"/>
      <x:c r="F43" s="164"/>
      <x:c r="G43" s="164"/>
      <x:c r="H43" s="164"/>
      <x:c r="I43" s="164"/>
      <x:c r="J43" s="164"/>
      <x:c r="K43" s="164"/>
      <x:c r="L43" s="164"/>
      <x:c r="M43" s="164"/>
      <x:c r="N43" s="164"/>
      <x:c r="O43" s="164"/>
      <x:c r="P43" s="152">
        <x:f t="shared" si="0"/>
        <x:v>0</x:v>
      </x:c>
      <x:c r="Q43" s="165" t="n">
        <x:f>'AS 31~40'!N68</x:f>
        <x:v>0</x:v>
      </x:c>
    </x:row>
    <x:row r="44" ht="20.25" customHeight="1">
      <x:c r="B44" s="142">
        <x:v>39</x:v>
      </x:c>
      <x:c r="C44" s="163" t="s">
        <x:v>164</x:v>
      </x:c>
      <x:c r="D44" s="164"/>
      <x:c r="E44" s="164"/>
      <x:c r="F44" s="164"/>
      <x:c r="G44" s="164"/>
      <x:c r="H44" s="164"/>
      <x:c r="I44" s="164"/>
      <x:c r="J44" s="164"/>
      <x:c r="K44" s="164"/>
      <x:c r="L44" s="164"/>
      <x:c r="M44" s="164"/>
      <x:c r="N44" s="164"/>
      <x:c r="O44" s="164"/>
      <x:c r="P44" s="152">
        <x:f t="shared" si="0"/>
        <x:v>0</x:v>
      </x:c>
      <x:c r="Q44" s="165" t="n">
        <x:f>'AS 31~40'!N76</x:f>
        <x:v>0</x:v>
      </x:c>
    </x:row>
    <x:row r="45" ht="20.25" customHeight="1">
      <x:c r="B45" s="142">
        <x:v>40</x:v>
      </x:c>
      <x:c r="C45" s="163" t="s">
        <x:v>73</x:v>
      </x:c>
      <x:c r="D45" s="164"/>
      <x:c r="E45" s="164"/>
      <x:c r="F45" s="164"/>
      <x:c r="G45" s="164"/>
      <x:c r="H45" s="164"/>
      <x:c r="I45" s="164"/>
      <x:c r="J45" s="164"/>
      <x:c r="K45" s="164"/>
      <x:c r="L45" s="164"/>
      <x:c r="M45" s="164"/>
      <x:c r="N45" s="164"/>
      <x:c r="O45" s="164"/>
      <x:c r="P45" s="152">
        <x:f t="shared" si="0"/>
        <x:v>0</x:v>
      </x:c>
      <x:c r="Q45" s="165" t="n">
        <x:f>'AS 31~40'!N84</x:f>
        <x:v>0</x:v>
      </x:c>
    </x:row>
    <x:row r="46" ht="20.25" customHeight="1">
      <x:c r="B46" s="142">
        <x:v>41</x:v>
      </x:c>
      <x:c r="C46" s="163" t="s">
        <x:v>74</x:v>
      </x:c>
      <x:c r="D46" s="164"/>
      <x:c r="E46" s="164"/>
      <x:c r="F46" s="164"/>
      <x:c r="G46" s="164"/>
      <x:c r="H46" s="164"/>
      <x:c r="I46" s="164"/>
      <x:c r="J46" s="164"/>
      <x:c r="K46" s="164"/>
      <x:c r="L46" s="164"/>
      <x:c r="M46" s="164"/>
      <x:c r="N46" s="164"/>
      <x:c r="O46" s="164"/>
      <x:c r="P46" s="152">
        <x:f t="shared" si="0"/>
        <x:v>0</x:v>
      </x:c>
      <x:c r="Q46" s="165" t="n">
        <x:f>'AS 41~50'!N12</x:f>
        <x:v>0</x:v>
      </x:c>
    </x:row>
    <x:row r="47" ht="20.25" customHeight="1">
      <x:c r="B47" s="142">
        <x:v>42</x:v>
      </x:c>
      <x:c r="C47" s="163" t="s">
        <x:v>75</x:v>
      </x:c>
      <x:c r="D47" s="164"/>
      <x:c r="E47" s="164"/>
      <x:c r="F47" s="164"/>
      <x:c r="G47" s="164"/>
      <x:c r="H47" s="164"/>
      <x:c r="I47" s="164"/>
      <x:c r="J47" s="164"/>
      <x:c r="K47" s="164"/>
      <x:c r="L47" s="164"/>
      <x:c r="M47" s="164"/>
      <x:c r="N47" s="164"/>
      <x:c r="O47" s="164"/>
      <x:c r="P47" s="152">
        <x:f t="shared" si="0"/>
        <x:v>0</x:v>
      </x:c>
      <x:c r="Q47" s="165" t="n">
        <x:f>'AS 41~50'!N20</x:f>
        <x:v>0</x:v>
      </x:c>
    </x:row>
    <x:row r="48" ht="20.25" customHeight="1">
      <x:c r="B48" s="142">
        <x:v>43</x:v>
      </x:c>
      <x:c r="C48" s="163" t="s">
        <x:v>76</x:v>
      </x:c>
      <x:c r="D48" s="164"/>
      <x:c r="E48" s="164"/>
      <x:c r="F48" s="164"/>
      <x:c r="G48" s="164"/>
      <x:c r="H48" s="164"/>
      <x:c r="I48" s="164"/>
      <x:c r="J48" s="164"/>
      <x:c r="K48" s="164"/>
      <x:c r="L48" s="164"/>
      <x:c r="M48" s="164"/>
      <x:c r="N48" s="164"/>
      <x:c r="O48" s="164"/>
      <x:c r="P48" s="152">
        <x:f t="shared" si="0"/>
        <x:v>0</x:v>
      </x:c>
      <x:c r="Q48" s="165" t="n">
        <x:f>'AS 41~50'!N28</x:f>
        <x:v>0</x:v>
      </x:c>
    </x:row>
    <x:row r="49" ht="20.25" customHeight="1">
      <x:c r="B49" s="142">
        <x:v>44</x:v>
      </x:c>
      <x:c r="C49" s="163" t="s">
        <x:v>74</x:v>
      </x:c>
      <x:c r="D49" s="164"/>
      <x:c r="E49" s="164"/>
      <x:c r="F49" s="164"/>
      <x:c r="G49" s="164"/>
      <x:c r="H49" s="164"/>
      <x:c r="I49" s="164"/>
      <x:c r="J49" s="164"/>
      <x:c r="K49" s="164"/>
      <x:c r="L49" s="164"/>
      <x:c r="M49" s="164"/>
      <x:c r="N49" s="164"/>
      <x:c r="O49" s="164"/>
      <x:c r="P49" s="152">
        <x:f t="shared" si="0"/>
        <x:v>0</x:v>
      </x:c>
      <x:c r="Q49" s="165" t="n">
        <x:f>'AS 41~50'!N36</x:f>
        <x:v>0</x:v>
      </x:c>
    </x:row>
    <x:row r="50" ht="20.25" customHeight="1">
      <x:c r="B50" s="142">
        <x:v>45</x:v>
      </x:c>
      <x:c r="C50" s="163"/>
      <x:c r="D50" s="164"/>
      <x:c r="E50" s="164"/>
      <x:c r="F50" s="164"/>
      <x:c r="G50" s="164"/>
      <x:c r="H50" s="164"/>
      <x:c r="I50" s="164"/>
      <x:c r="J50" s="164"/>
      <x:c r="K50" s="164"/>
      <x:c r="L50" s="164"/>
      <x:c r="M50" s="164"/>
      <x:c r="N50" s="164"/>
      <x:c r="O50" s="164"/>
      <x:c r="P50" s="152">
        <x:f t="shared" si="0"/>
        <x:v>0</x:v>
      </x:c>
      <x:c r="Q50" s="164"/>
    </x:row>
    <x:row r="51" ht="20.25" customHeight="1"/>
    <x:row r="52" ht="20.25" customHeight="1"/>
    <x:row r="53" ht="20.25" customHeight="1"/>
    <x:row r="54" ht="20.25" customHeight="1"/>
    <x:row r="55" ht="20.25" customHeight="1"/>
    <x:row r="56" ht="20.25" customHeight="1"/>
    <x:row r="57" ht="20.25" customHeight="1"/>
  </x:sheetData>
  <x:mergeCells>
    <x:mergeCell ref="B2:Q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defaultColWidth="14.42578125" defaultRowHeight="15"/>
  <x:cols>
    <x:col min="1" max="1" width="4.85546875" customWidth="1"/>
    <x:col min="2" max="2" width="17.28515625" customWidth="1"/>
    <x:col min="3" max="7" width="15.140625" customWidth="1"/>
    <x:col min="8" max="8" width="30.140625" customWidth="1"/>
    <x:col min="9" max="13" width="15.140625" customWidth="1"/>
    <x:col min="14" max="14" width="10.42578125" customWidth="1"/>
    <x:col min="15" max="15" width="3.28515625" customWidth="1"/>
    <x:col min="16" max="16" width="17.140625" customWidth="1"/>
    <x:col min="17" max="17" width="3.28515625" customWidth="1"/>
    <x:col min="18" max="18" width="17.140625" customWidth="1"/>
    <x:col min="19" max="19" width="3.28515625" customWidth="1"/>
  </x:cols>
  <x:sheetData>
    <x:row r="1" ht="21" customHeight="1">
      <x:c r="A1" s="9"/>
      <x:c r="B1" s="1"/>
      <x:c r="C1" s="2"/>
      <x:c r="D1" s="3"/>
      <x:c r="E1" s="3"/>
      <x:c r="F1" s="4"/>
      <x:c r="G1" s="2"/>
      <x:c r="H1" s="2"/>
      <x:c r="I1" s="5"/>
      <x:c r="J1" s="6"/>
      <x:c r="K1" s="7"/>
      <x:c r="L1" s="6"/>
      <x:c r="M1" s="5"/>
      <x:c r="N1" s="9"/>
      <x:c r="O1" s="8"/>
      <x:c r="P1" s="8"/>
      <x:c r="Q1" s="8"/>
      <x:c r="R1" s="8"/>
      <x:c r="S1" s="8"/>
    </x:row>
    <x:row r="2" ht="15.75" customHeight="1">
      <x:c r="A2" s="9"/>
      <x:c r="B2" s="255" t="s">
        <x:v>165</x:v>
      </x:c>
      <x:c r="C2" s="215"/>
      <x:c r="D2" s="215"/>
      <x:c r="E2" s="215"/>
      <x:c r="F2" s="215"/>
      <x:c r="G2" s="216"/>
      <x:c r="H2" s="11" t="s">
        <x:v>1</x:v>
      </x:c>
      <x:c r="I2" s="217" t="s">
        <x:v>2</x:v>
      </x:c>
      <x:c r="J2" s="215"/>
      <x:c r="K2" s="215"/>
      <x:c r="L2" s="215"/>
      <x:c r="M2" s="216"/>
      <x:c r="O2" s="12"/>
      <x:c r="P2" s="13" t="s">
        <x:v>3</x:v>
      </x:c>
      <x:c r="Q2" s="13"/>
      <x:c r="R2" s="13" t="s">
        <x:v>4</x:v>
      </x:c>
      <x:c r="S2" s="12"/>
    </x:row>
    <x:row r="3" ht="21" customHeight="1">
      <x:c r="A3" s="9"/>
      <x:c r="B3" s="14"/>
      <x:c r="C3" s="14"/>
      <x:c r="D3" s="15"/>
      <x:c r="E3" s="15"/>
      <x:c r="F3" s="16"/>
      <x:c r="G3" s="17"/>
      <x:c r="H3" s="18"/>
      <x:c r="I3" s="19"/>
      <x:c r="J3" s="19"/>
      <x:c r="K3" s="19"/>
      <x:c r="L3" s="20"/>
      <x:c r="M3" s="39"/>
      <x:c r="N3" s="20"/>
      <x:c r="O3" s="21"/>
      <x:c r="P3" s="22" t="s">
        <x:v>166</x:v>
      </x:c>
      <x:c r="Q3" s="23"/>
      <x:c r="R3" s="22" t="s">
        <x:v>6</x:v>
      </x:c>
      <x:c r="S3" s="21"/>
    </x:row>
    <x:row r="4" ht="21" customHeight="1">
      <x:c r="A4" s="9"/>
      <x:c r="B4" s="218" t="s">
        <x:v>7</x:v>
      </x:c>
      <x:c r="C4" s="219"/>
      <x:c r="D4" s="219"/>
      <x:c r="E4" s="219"/>
      <x:c r="F4" s="219"/>
      <x:c r="G4" s="219"/>
      <x:c r="H4" s="219"/>
      <x:c r="I4" s="219"/>
      <x:c r="J4" s="219"/>
      <x:c r="K4" s="219"/>
      <x:c r="L4" s="219"/>
      <x:c r="M4" s="220"/>
      <x:c r="N4" s="60"/>
      <x:c r="O4" s="21"/>
      <x:c r="P4" s="22" t="s">
        <x:v>167</x:v>
      </x:c>
      <x:c r="Q4" s="23"/>
      <x:c r="R4" s="22" t="s">
        <x:v>9</x:v>
      </x:c>
      <x:c r="S4" s="21"/>
    </x:row>
    <x:row r="5" ht="21" customHeight="1">
      <x:c r="A5" s="9"/>
      <x:c r="B5" s="41" t="s">
        <x:v>10</x:v>
      </x:c>
      <x:c r="C5" s="41" t="s">
        <x:v>11</x:v>
      </x:c>
      <x:c r="D5" s="41" t="s">
        <x:v>12</x:v>
      </x:c>
      <x:c r="E5" s="41" t="s">
        <x:v>168</x:v>
      </x:c>
      <x:c r="F5" s="41" t="s">
        <x:v>169</x:v>
      </x:c>
      <x:c r="G5" s="256" t="s">
        <x:v>170</x:v>
      </x:c>
      <x:c r="H5" s="219"/>
      <x:c r="I5" s="219"/>
      <x:c r="J5" s="219"/>
      <x:c r="K5" s="219"/>
      <x:c r="L5" s="220"/>
      <x:c r="M5" s="41" t="s">
        <x:v>17</x:v>
      </x:c>
      <x:c r="N5" s="60"/>
      <x:c r="O5" s="21"/>
      <x:c r="P5" s="22" t="s">
        <x:v>60</x:v>
      </x:c>
      <x:c r="Q5" s="23"/>
      <x:c r="R5" s="22" t="s">
        <x:v>20</x:v>
      </x:c>
      <x:c r="S5" s="21"/>
    </x:row>
    <x:row r="6" ht="15.75" customHeight="1">
      <x:c r="A6" s="24"/>
      <x:c r="B6" s="238" t="s">
        <x:v>171</x:v>
      </x:c>
      <x:c r="C6" s="239"/>
      <x:c r="D6" s="239"/>
      <x:c r="E6" s="239"/>
      <x:c r="F6" s="239"/>
      <x:c r="G6" s="239"/>
      <x:c r="H6" s="257"/>
      <x:c r="I6" s="61"/>
      <x:c r="J6" s="62"/>
      <x:c r="K6" s="63"/>
      <x:c r="L6" s="64"/>
      <x:c r="M6" s="64"/>
      <x:c r="N6" s="24"/>
      <x:c r="O6" s="21"/>
      <x:c r="P6" s="22" t="s">
        <x:v>26</x:v>
      </x:c>
      <x:c r="Q6" s="23"/>
      <x:c r="R6" s="22"/>
      <x:c r="S6" s="21"/>
    </x:row>
    <x:row r="7" ht="21" customHeight="1">
      <x:c r="A7" s="24"/>
      <x:c r="B7" s="56" t="s">
        <x:v>167</x:v>
      </x:c>
      <x:c r="C7" s="56" t="s">
        <x:v>9</x:v>
      </x:c>
      <x:c r="D7" s="58">
        <x:v>44208</x:v>
      </x:c>
      <x:c r="E7" s="58">
        <x:v>44209</x:v>
      </x:c>
      <x:c r="F7" s="45" t="n">
        <x:f t="shared" ref="F7:F10" si="0">DAYS360(D7,E7)</x:f>
        <x:v>1</x:v>
      </x:c>
      <x:c r="G7" s="258" t="s">
        <x:v>172</x:v>
      </x:c>
      <x:c r="H7" s="259"/>
      <x:c r="I7" s="259"/>
      <x:c r="J7" s="259"/>
      <x:c r="K7" s="259"/>
      <x:c r="L7" s="259"/>
      <x:c r="M7" s="46" t="s">
        <x:v>52</x:v>
      </x:c>
      <x:c r="N7" s="24"/>
      <x:c r="O7" s="27"/>
      <x:c r="P7" s="25" t="s">
        <x:v>173</x:v>
      </x:c>
      <x:c r="Q7" s="27"/>
      <x:c r="R7" s="27"/>
      <x:c r="S7" s="27"/>
    </x:row>
    <x:row r="8" ht="21" customHeight="1">
      <x:c r="A8" s="29"/>
      <x:c r="B8" s="50" t="s">
        <x:v>174</x:v>
      </x:c>
      <x:c r="C8" s="50" t="s">
        <x:v>6</x:v>
      </x:c>
      <x:c r="D8" s="59">
        <x:v>43353</x:v>
      </x:c>
      <x:c r="E8" s="59">
        <x:v>43357</x:v>
      </x:c>
      <x:c r="F8" s="34">
        <x:f t="shared" si="0"/>
        <x:v>4</x:v>
      </x:c>
      <x:c r="G8" s="254" t="s">
        <x:v>175</x:v>
      </x:c>
      <x:c r="H8" s="227"/>
      <x:c r="I8" s="227"/>
      <x:c r="J8" s="227"/>
      <x:c r="K8" s="227"/>
      <x:c r="L8" s="227"/>
      <x:c r="M8" s="32"/>
      <x:c r="N8" s="65"/>
      <x:c r="O8" s="30"/>
      <x:c r="P8" s="25" t="s">
        <x:v>176</x:v>
      </x:c>
      <x:c r="Q8" s="30"/>
      <x:c r="R8" s="30"/>
      <x:c r="S8" s="30"/>
    </x:row>
    <x:row r="9" ht="21" customHeight="1">
      <x:c r="A9" s="31"/>
      <x:c r="B9" s="50" t="s">
        <x:v>177</x:v>
      </x:c>
      <x:c r="C9" s="50" t="s">
        <x:v>9</x:v>
      </x:c>
      <x:c r="D9" s="59">
        <x:v>43354</x:v>
      </x:c>
      <x:c r="E9" s="59">
        <x:v>43363</x:v>
      </x:c>
      <x:c r="F9" s="34">
        <x:f t="shared" si="0"/>
        <x:v>9</x:v>
      </x:c>
      <x:c r="G9" s="254" t="s">
        <x:v>175</x:v>
      </x:c>
      <x:c r="H9" s="227"/>
      <x:c r="I9" s="227"/>
      <x:c r="J9" s="227"/>
      <x:c r="K9" s="227"/>
      <x:c r="L9" s="227"/>
      <x:c r="M9" s="32"/>
      <x:c r="N9" s="48"/>
      <x:c r="O9" s="30"/>
      <x:c r="P9" s="30"/>
      <x:c r="Q9" s="30"/>
      <x:c r="R9" s="30"/>
      <x:c r="S9" s="30"/>
    </x:row>
    <x:row r="10" ht="21" customHeight="1">
      <x:c r="A10" s="31"/>
      <x:c r="B10" s="50" t="s">
        <x:v>177</x:v>
      </x:c>
      <x:c r="C10" s="50" t="s">
        <x:v>9</x:v>
      </x:c>
      <x:c r="D10" s="59">
        <x:v>43354</x:v>
      </x:c>
      <x:c r="E10" s="59">
        <x:v>43363</x:v>
      </x:c>
      <x:c r="F10" s="34">
        <x:f t="shared" si="0"/>
        <x:v>9</x:v>
      </x:c>
      <x:c r="G10" s="254" t="s">
        <x:v>175</x:v>
      </x:c>
      <x:c r="H10" s="227"/>
      <x:c r="I10" s="227"/>
      <x:c r="J10" s="227"/>
      <x:c r="K10" s="227"/>
      <x:c r="L10" s="227"/>
      <x:c r="M10" s="32"/>
      <x:c r="N10" s="48"/>
      <x:c r="O10" s="30"/>
      <x:c r="P10" s="30"/>
      <x:c r="Q10" s="30"/>
      <x:c r="R10" s="30"/>
      <x:c r="S10" s="30"/>
    </x:row>
    <x:row r="11" ht="21" customHeight="1">
      <x:c r="A11" s="35"/>
      <x:c r="D11" s="58"/>
      <x:c r="E11" s="58"/>
      <x:c r="M11" s="36"/>
      <x:c r="N11" s="49"/>
      <x:c r="O11" s="30"/>
      <x:c r="P11" s="30"/>
      <x:c r="Q11" s="30"/>
      <x:c r="R11" s="30"/>
      <x:c r="S11" s="30"/>
    </x:row>
    <x:row r="12" ht="21" customHeight="1">
      <x:c r="A12" s="35"/>
      <x:c r="B12" s="238" t="s">
        <x:v>178</x:v>
      </x:c>
      <x:c r="C12" s="239"/>
      <x:c r="D12" s="239"/>
      <x:c r="E12" s="239"/>
      <x:c r="F12" s="239"/>
      <x:c r="G12" s="239"/>
      <x:c r="H12" s="257"/>
      <x:c r="I12" s="61"/>
      <x:c r="J12" s="62"/>
      <x:c r="K12" s="63"/>
      <x:c r="L12" s="64"/>
      <x:c r="M12" s="64"/>
      <x:c r="N12" s="49"/>
      <x:c r="O12" s="30"/>
      <x:c r="P12" s="30"/>
      <x:c r="Q12" s="30"/>
      <x:c r="R12" s="30"/>
      <x:c r="S12" s="30"/>
    </x:row>
    <x:row r="13" ht="21" customHeight="1">
      <x:c r="A13" s="35"/>
      <x:c r="B13" s="56" t="s">
        <x:v>167</x:v>
      </x:c>
      <x:c r="C13" s="56" t="s">
        <x:v>9</x:v>
      </x:c>
      <x:c r="D13" s="58">
        <x:v>44208</x:v>
      </x:c>
      <x:c r="E13" s="58">
        <x:v>44209</x:v>
      </x:c>
      <x:c r="F13" s="45" t="n">
        <x:f t="shared" ref="F13:F16" si="1">DAYS360(D13,E13)</x:f>
        <x:v>1</x:v>
      </x:c>
      <x:c r="G13" s="258" t="s">
        <x:v>172</x:v>
      </x:c>
      <x:c r="H13" s="259"/>
      <x:c r="I13" s="259"/>
      <x:c r="J13" s="259"/>
      <x:c r="K13" s="259"/>
      <x:c r="L13" s="259"/>
      <x:c r="M13" s="46" t="s">
        <x:v>52</x:v>
      </x:c>
      <x:c r="N13" s="49"/>
      <x:c r="O13" s="37"/>
      <x:c r="P13" s="30"/>
      <x:c r="Q13" s="37"/>
      <x:c r="R13" s="37"/>
      <x:c r="S13" s="37"/>
    </x:row>
    <x:row r="14" ht="21" customHeight="1">
      <x:c r="A14" s="35"/>
      <x:c r="B14" s="50" t="s">
        <x:v>176</x:v>
      </x:c>
      <x:c r="C14" s="50" t="s">
        <x:v>9</x:v>
      </x:c>
      <x:c r="D14" s="59">
        <x:v>44208</x:v>
      </x:c>
      <x:c r="E14" s="59">
        <x:v>43357</x:v>
      </x:c>
      <x:c r="F14" s="34">
        <x:f t="shared" si="1"/>
        <x:v>-838</x:v>
      </x:c>
      <x:c r="G14" s="254" t="s">
        <x:v>175</x:v>
      </x:c>
      <x:c r="H14" s="227"/>
      <x:c r="I14" s="227"/>
      <x:c r="J14" s="227"/>
      <x:c r="K14" s="227"/>
      <x:c r="L14" s="227"/>
      <x:c r="M14" s="32"/>
      <x:c r="N14" s="49"/>
      <x:c r="O14" s="37"/>
      <x:c r="P14" s="30"/>
      <x:c r="Q14" s="37"/>
      <x:c r="R14" s="37"/>
      <x:c r="S14" s="37"/>
    </x:row>
    <x:row r="15" ht="21" customHeight="1">
      <x:c r="A15" s="35"/>
      <x:c r="B15" s="50" t="s">
        <x:v>177</x:v>
      </x:c>
      <x:c r="C15" s="50" t="s">
        <x:v>9</x:v>
      </x:c>
      <x:c r="D15" s="59">
        <x:v>43354</x:v>
      </x:c>
      <x:c r="E15" s="59">
        <x:v>43363</x:v>
      </x:c>
      <x:c r="F15" s="34">
        <x:f t="shared" si="1"/>
        <x:v>9</x:v>
      </x:c>
      <x:c r="G15" s="254" t="s">
        <x:v>175</x:v>
      </x:c>
      <x:c r="H15" s="227"/>
      <x:c r="I15" s="227"/>
      <x:c r="J15" s="227"/>
      <x:c r="K15" s="227"/>
      <x:c r="L15" s="227"/>
      <x:c r="M15" s="32"/>
      <x:c r="N15" s="49"/>
      <x:c r="O15" s="38"/>
      <x:c r="P15" s="38"/>
      <x:c r="Q15" s="38"/>
      <x:c r="R15" s="38"/>
      <x:c r="S15" s="38"/>
    </x:row>
    <x:row r="16" ht="21" customHeight="1">
      <x:c r="A16" s="35"/>
      <x:c r="B16" s="50" t="s">
        <x:v>177</x:v>
      </x:c>
      <x:c r="C16" s="50" t="s">
        <x:v>9</x:v>
      </x:c>
      <x:c r="D16" s="59">
        <x:v>43355</x:v>
      </x:c>
      <x:c r="E16" s="59">
        <x:v>43363</x:v>
      </x:c>
      <x:c r="F16" s="34">
        <x:f t="shared" si="1"/>
        <x:v>8</x:v>
      </x:c>
      <x:c r="G16" s="254" t="s">
        <x:v>175</x:v>
      </x:c>
      <x:c r="H16" s="227"/>
      <x:c r="I16" s="227"/>
      <x:c r="J16" s="227"/>
      <x:c r="K16" s="227"/>
      <x:c r="L16" s="227"/>
      <x:c r="M16" s="32"/>
      <x:c r="N16" s="49"/>
      <x:c r="O16" s="38"/>
      <x:c r="P16" s="38"/>
      <x:c r="Q16" s="38"/>
      <x:c r="R16" s="38"/>
      <x:c r="S16" s="38"/>
    </x:row>
    <x:row r="17" ht="21" customHeight="1">
      <x:c r="A17" s="35"/>
      <x:c r="M17" s="36"/>
      <x:c r="N17" s="49"/>
      <x:c r="O17" s="38"/>
      <x:c r="P17" s="38"/>
      <x:c r="Q17" s="38"/>
      <x:c r="R17" s="38"/>
      <x:c r="S17" s="38"/>
    </x:row>
    <x:row r="18" ht="21" customHeight="1">
      <x:c r="A18" s="35"/>
      <x:c r="M18" s="36"/>
      <x:c r="N18" s="49"/>
      <x:c r="O18" s="38"/>
      <x:c r="P18" s="38"/>
      <x:c r="Q18" s="38"/>
      <x:c r="R18" s="38"/>
      <x:c r="S18" s="38"/>
    </x:row>
    <x:row r="19" ht="21" customHeight="1">
      <x:c r="A19" s="35"/>
      <x:c r="B19" s="66"/>
      <x:c r="C19" s="67"/>
      <x:c r="D19" s="68"/>
      <x:c r="E19" s="68"/>
      <x:c r="F19" s="69"/>
      <x:c r="G19" s="70"/>
      <x:c r="H19" s="71"/>
      <x:c r="I19" s="72"/>
      <x:c r="J19" s="73"/>
      <x:c r="K19" s="74"/>
      <x:c r="L19" s="35"/>
      <x:c r="M19" s="75"/>
      <x:c r="N19" s="49"/>
      <x:c r="O19" s="38"/>
      <x:c r="P19" s="38"/>
      <x:c r="Q19" s="38"/>
      <x:c r="R19" s="38"/>
      <x:c r="S19" s="38"/>
    </x:row>
    <x:row r="20" ht="21" customHeight="1">
      <x:c r="A20" s="35"/>
      <x:c r="B20" s="76"/>
      <x:c r="C20" s="76"/>
      <x:c r="D20" s="73"/>
      <x:c r="E20" s="73"/>
      <x:c r="F20" s="73"/>
      <x:c r="G20" s="73"/>
      <x:c r="H20" s="76"/>
      <x:c r="I20" s="72"/>
      <x:c r="J20" s="77"/>
      <x:c r="K20" s="74"/>
      <x:c r="L20" s="35"/>
      <x:c r="M20" s="75"/>
      <x:c r="N20" s="49"/>
      <x:c r="O20" s="38"/>
      <x:c r="P20" s="38"/>
      <x:c r="Q20" s="38"/>
      <x:c r="R20" s="38"/>
      <x:c r="S20" s="38"/>
    </x:row>
    <x:row r="21" ht="21" customHeight="1">
      <x:c r="A21" s="35"/>
      <x:c r="B21" s="66"/>
      <x:c r="C21" s="67"/>
      <x:c r="D21" s="68"/>
      <x:c r="E21" s="68"/>
      <x:c r="F21" s="69"/>
      <x:c r="G21" s="75"/>
      <x:c r="H21" s="71"/>
      <x:c r="I21" s="72"/>
      <x:c r="J21" s="73"/>
      <x:c r="K21" s="74"/>
      <x:c r="L21" s="35"/>
      <x:c r="M21" s="75"/>
      <x:c r="N21" s="49"/>
      <x:c r="O21" s="38"/>
      <x:c r="P21" s="38"/>
      <x:c r="Q21" s="38"/>
      <x:c r="R21" s="38"/>
      <x:c r="S21" s="38"/>
    </x:row>
    <x:row r="22" ht="21" customHeight="1">
      <x:c r="A22" s="35"/>
      <x:c r="B22" s="66"/>
      <x:c r="C22" s="67"/>
      <x:c r="D22" s="68"/>
      <x:c r="E22" s="68"/>
      <x:c r="F22" s="69"/>
      <x:c r="G22" s="70"/>
      <x:c r="H22" s="71"/>
      <x:c r="I22" s="72"/>
      <x:c r="J22" s="73"/>
      <x:c r="K22" s="74"/>
      <x:c r="L22" s="35"/>
      <x:c r="M22" s="75"/>
      <x:c r="N22" s="49"/>
      <x:c r="O22" s="38"/>
      <x:c r="P22" s="38"/>
      <x:c r="Q22" s="38"/>
      <x:c r="R22" s="38"/>
      <x:c r="S22" s="38"/>
    </x:row>
    <x:row r="23" ht="21" customHeight="1">
      <x:c r="A23" s="35"/>
      <x:c r="B23" s="66"/>
      <x:c r="C23" s="67"/>
      <x:c r="D23" s="68"/>
      <x:c r="E23" s="68"/>
      <x:c r="F23" s="69"/>
      <x:c r="G23" s="70"/>
      <x:c r="H23" s="71"/>
      <x:c r="I23" s="72"/>
      <x:c r="J23" s="73"/>
      <x:c r="K23" s="74"/>
      <x:c r="L23" s="35"/>
      <x:c r="M23" s="75"/>
      <x:c r="N23" s="49"/>
      <x:c r="O23" s="38"/>
      <x:c r="P23" s="38"/>
      <x:c r="Q23" s="38"/>
      <x:c r="R23" s="38"/>
      <x:c r="S23" s="38"/>
    </x:row>
    <x:row r="24" ht="21" customHeight="1">
      <x:c r="A24" s="35"/>
      <x:c r="B24" s="66"/>
      <x:c r="C24" s="67"/>
      <x:c r="D24" s="68"/>
      <x:c r="E24" s="68"/>
      <x:c r="F24" s="69"/>
      <x:c r="G24" s="70"/>
      <x:c r="H24" s="71"/>
      <x:c r="I24" s="72"/>
      <x:c r="J24" s="73"/>
      <x:c r="K24" s="74"/>
      <x:c r="L24" s="35"/>
      <x:c r="M24" s="75"/>
      <x:c r="N24" s="49"/>
      <x:c r="O24" s="38"/>
      <x:c r="P24" s="38"/>
      <x:c r="Q24" s="38"/>
      <x:c r="R24" s="38"/>
      <x:c r="S24" s="38"/>
    </x:row>
    <x:row r="25" ht="21" customHeight="1">
      <x:c r="A25" s="35"/>
      <x:c r="B25" s="66"/>
      <x:c r="C25" s="66"/>
      <x:c r="D25" s="78"/>
      <x:c r="E25" s="78"/>
      <x:c r="F25" s="78"/>
      <x:c r="G25" s="73"/>
      <x:c r="H25" s="79"/>
      <x:c r="I25" s="80"/>
      <x:c r="J25" s="49"/>
      <x:c r="K25" s="49"/>
      <x:c r="L25" s="49"/>
      <x:c r="M25" s="49"/>
      <x:c r="N25" s="49"/>
      <x:c r="O25" s="38"/>
      <x:c r="P25" s="38"/>
      <x:c r="Q25" s="38"/>
      <x:c r="R25" s="38"/>
      <x:c r="S25" s="38"/>
    </x:row>
    <x:row r="26" ht="21" customHeight="1">
      <x:c r="A26" s="35"/>
      <x:c r="B26" s="67"/>
      <x:c r="C26" s="67"/>
      <x:c r="D26" s="75"/>
      <x:c r="E26" s="75"/>
      <x:c r="F26" s="75"/>
      <x:c r="G26" s="75"/>
      <x:c r="H26" s="67"/>
      <x:c r="I26" s="35"/>
      <x:c r="J26" s="35"/>
      <x:c r="K26" s="35"/>
      <x:c r="L26" s="35"/>
      <x:c r="M26" s="75"/>
      <x:c r="N26" s="35"/>
      <x:c r="O26" s="57"/>
      <x:c r="P26" s="57"/>
      <x:c r="Q26" s="57"/>
      <x:c r="R26" s="57"/>
      <x:c r="S26" s="57"/>
    </x:row>
    <x:row r="27" ht="21" customHeight="1">
      <x:c r="A27" s="35"/>
      <x:c r="B27" s="67"/>
      <x:c r="C27" s="67"/>
      <x:c r="D27" s="75"/>
      <x:c r="E27" s="75"/>
      <x:c r="F27" s="75"/>
      <x:c r="G27" s="75"/>
      <x:c r="H27" s="67"/>
      <x:c r="I27" s="35"/>
      <x:c r="J27" s="35"/>
      <x:c r="K27" s="35"/>
      <x:c r="L27" s="35"/>
      <x:c r="M27" s="75"/>
      <x:c r="N27" s="35"/>
      <x:c r="O27" s="57"/>
      <x:c r="P27" s="57"/>
      <x:c r="Q27" s="57"/>
      <x:c r="R27" s="57"/>
      <x:c r="S27" s="57"/>
    </x:row>
    <x:row r="28" ht="21" customHeight="1">
      <x:c r="A28" s="35"/>
      <x:c r="B28" s="67"/>
      <x:c r="C28" s="67"/>
      <x:c r="D28" s="75"/>
      <x:c r="E28" s="75"/>
      <x:c r="F28" s="75"/>
      <x:c r="G28" s="75"/>
      <x:c r="H28" s="67"/>
      <x:c r="I28" s="35"/>
      <x:c r="J28" s="35"/>
      <x:c r="K28" s="35"/>
      <x:c r="L28" s="35"/>
      <x:c r="M28" s="75"/>
      <x:c r="N28" s="35"/>
      <x:c r="O28" s="57"/>
      <x:c r="P28" s="57"/>
      <x:c r="Q28" s="57"/>
      <x:c r="R28" s="57"/>
      <x:c r="S28" s="57"/>
    </x:row>
    <x:row r="29" ht="15.75" customHeight="1">
      <x:c r="M29" s="36"/>
    </x:row>
    <x:row r="30" ht="15.75" customHeight="1">
      <x:c r="M30" s="36"/>
    </x:row>
    <x:row r="31" ht="15.75" customHeight="1">
      <x:c r="M31" s="36"/>
    </x:row>
    <x:row r="32" ht="15.75" customHeight="1">
      <x:c r="M32" s="36"/>
    </x:row>
    <x:row r="33" ht="15.75" customHeight="1">
      <x:c r="M33" s="36"/>
    </x:row>
    <x:row r="34" ht="15.75" customHeight="1">
      <x:c r="M34" s="36"/>
    </x:row>
    <x:row r="35" ht="15.75" customHeight="1">
      <x:c r="M35" s="36"/>
    </x:row>
    <x:row r="36" ht="15.75" customHeight="1">
      <x:c r="M36" s="36"/>
    </x:row>
    <x:row r="37" ht="15.75" customHeight="1">
      <x:c r="M37" s="36"/>
    </x:row>
    <x:row r="38" ht="15.75" customHeight="1">
      <x:c r="M38" s="36"/>
    </x:row>
    <x:row r="39" ht="15.75" customHeight="1">
      <x:c r="M39" s="36"/>
    </x:row>
    <x:row r="40" ht="15.75" customHeight="1">
      <x:c r="M40" s="36"/>
    </x:row>
    <x:row r="41" ht="15.75" customHeight="1">
      <x:c r="M41" s="36"/>
    </x:row>
    <x:row r="42" ht="15.75" customHeight="1">
      <x:c r="M42" s="36"/>
    </x:row>
    <x:row r="43" ht="15.75" customHeight="1">
      <x:c r="M43" s="36"/>
    </x:row>
    <x:row r="44" ht="15.75" customHeight="1">
      <x:c r="M44" s="36"/>
    </x:row>
    <x:row r="45" ht="15.75" customHeight="1">
      <x:c r="M45" s="36"/>
    </x:row>
    <x:row r="46" ht="15.75" customHeight="1">
      <x:c r="M46" s="36"/>
    </x:row>
    <x:row r="47" ht="15.75" customHeight="1">
      <x:c r="M47" s="36"/>
    </x:row>
    <x:row r="48" ht="15.75" customHeight="1">
      <x:c r="M48" s="36"/>
    </x:row>
    <x:row r="49" ht="15.75" customHeight="1">
      <x:c r="M49" s="36"/>
    </x:row>
    <x:row r="50" ht="15.75" customHeight="1">
      <x:c r="M50" s="36"/>
    </x:row>
    <x:row r="51" ht="15.75" customHeight="1">
      <x:c r="M51" s="36"/>
    </x:row>
    <x:row r="52" ht="15.75" customHeight="1">
      <x:c r="M52" s="36"/>
    </x:row>
    <x:row r="53" ht="15.75" customHeight="1">
      <x:c r="M53" s="36"/>
    </x:row>
    <x:row r="54" ht="15.75" customHeight="1">
      <x:c r="M54" s="36"/>
    </x:row>
    <x:row r="55" ht="15.75" customHeight="1">
      <x:c r="M55" s="36"/>
    </x:row>
    <x:row r="56" ht="15.75" customHeight="1">
      <x:c r="M56" s="36"/>
    </x:row>
    <x:row r="57" ht="15.75" customHeight="1">
      <x:c r="M57" s="36"/>
    </x:row>
    <x:row r="58" ht="15.75" customHeight="1">
      <x:c r="M58" s="36"/>
    </x:row>
    <x:row r="59" ht="15.75" customHeight="1">
      <x:c r="M59" s="36"/>
    </x:row>
    <x:row r="60" ht="15.75" customHeight="1">
      <x:c r="M60" s="36"/>
    </x:row>
    <x:row r="61" ht="15.75" customHeight="1">
      <x:c r="M61" s="36"/>
    </x:row>
    <x:row r="62" ht="15.75" customHeight="1">
      <x:c r="M62" s="36"/>
    </x:row>
    <x:row r="63" ht="15.75" customHeight="1">
      <x:c r="M63" s="36"/>
    </x:row>
    <x:row r="64" ht="15.75" customHeight="1">
      <x:c r="M64" s="36"/>
    </x:row>
    <x:row r="65" ht="15.75" customHeight="1">
      <x:c r="M65" s="36"/>
    </x:row>
    <x:row r="66" ht="15.75" customHeight="1">
      <x:c r="M66" s="36"/>
    </x:row>
    <x:row r="67" ht="15.75" customHeight="1">
      <x:c r="M67" s="36"/>
    </x:row>
    <x:row r="68" ht="15.75" customHeight="1">
      <x:c r="M68" s="36"/>
    </x:row>
    <x:row r="69" ht="15.75" customHeight="1">
      <x:c r="M69" s="36"/>
    </x:row>
    <x:row r="70" ht="15.75" customHeight="1">
      <x:c r="M70" s="36"/>
    </x:row>
    <x:row r="71" ht="15.75" customHeight="1">
      <x:c r="M71" s="36"/>
    </x:row>
    <x:row r="72" ht="15.75" customHeight="1">
      <x:c r="M72" s="36"/>
    </x:row>
    <x:row r="73" ht="15.75" customHeight="1">
      <x:c r="M73" s="36"/>
    </x:row>
    <x:row r="74" ht="15.75" customHeight="1">
      <x:c r="M74" s="36"/>
    </x:row>
    <x:row r="75" ht="15.75" customHeight="1">
      <x:c r="M75" s="36"/>
    </x:row>
    <x:row r="76" ht="15.75" customHeight="1">
      <x:c r="M76" s="36"/>
    </x:row>
    <x:row r="77" ht="15.75" customHeight="1">
      <x:c r="M77" s="36"/>
    </x:row>
    <x:row r="78" ht="15.75" customHeight="1">
      <x:c r="M78" s="36"/>
    </x:row>
    <x:row r="79" ht="15.75" customHeight="1">
      <x:c r="M79" s="36"/>
    </x:row>
    <x:row r="80" ht="15.75" customHeight="1">
      <x:c r="M80" s="36"/>
    </x:row>
    <x:row r="81" ht="15.75" customHeight="1">
      <x:c r="M81" s="36"/>
    </x:row>
    <x:row r="82" ht="15.75" customHeight="1">
      <x:c r="M82" s="36"/>
    </x:row>
    <x:row r="83" ht="15.75" customHeight="1">
      <x:c r="M83" s="36"/>
    </x:row>
    <x:row r="84" ht="15.75" customHeight="1">
      <x:c r="M84" s="36"/>
    </x:row>
    <x:row r="85" ht="15.75" customHeight="1">
      <x:c r="M85" s="36"/>
    </x:row>
    <x:row r="86" ht="15.75" customHeight="1">
      <x:c r="M86" s="36"/>
    </x:row>
    <x:row r="87" ht="15.75" customHeight="1">
      <x:c r="M87" s="36"/>
    </x:row>
    <x:row r="88" ht="15.75" customHeight="1">
      <x:c r="M88" s="36"/>
    </x:row>
    <x:row r="89" ht="15.75" customHeight="1">
      <x:c r="M89" s="36"/>
    </x:row>
    <x:row r="90" ht="15.75" customHeight="1">
      <x:c r="M90" s="36"/>
    </x:row>
    <x:row r="91" ht="15.75" customHeight="1">
      <x:c r="M91" s="36"/>
    </x:row>
    <x:row r="92" ht="15.75" customHeight="1">
      <x:c r="M92" s="36"/>
    </x:row>
    <x:row r="93" ht="15.75" customHeight="1">
      <x:c r="M93" s="36"/>
    </x:row>
    <x:row r="94" ht="15.75" customHeight="1">
      <x:c r="M94" s="36"/>
    </x:row>
    <x:row r="95" ht="15.75" customHeight="1">
      <x:c r="M95" s="36"/>
    </x:row>
    <x:row r="96" ht="15.75" customHeight="1">
      <x:c r="M96" s="36"/>
    </x:row>
    <x:row r="97" ht="15.75" customHeight="1">
      <x:c r="M97" s="36"/>
    </x:row>
    <x:row r="98" ht="15.75" customHeight="1">
      <x:c r="M98" s="36"/>
    </x:row>
    <x:row r="99" ht="15.75" customHeight="1">
      <x:c r="M99" s="36"/>
    </x:row>
    <x:row r="100" ht="15.75" customHeight="1">
      <x:c r="M100" s="36"/>
    </x:row>
    <x:row r="101" ht="15.75" customHeight="1">
      <x:c r="M101" s="36"/>
    </x:row>
    <x:row r="102" ht="15.75" customHeight="1">
      <x:c r="M102" s="36"/>
    </x:row>
    <x:row r="103" ht="15.75" customHeight="1">
      <x:c r="M103" s="36"/>
    </x:row>
    <x:row r="104" ht="15.75" customHeight="1">
      <x:c r="M104" s="36"/>
    </x:row>
    <x:row r="105" ht="15.75" customHeight="1">
      <x:c r="M105" s="36"/>
    </x:row>
    <x:row r="106" ht="15.75" customHeight="1">
      <x:c r="M106" s="36"/>
    </x:row>
    <x:row r="107" ht="15.75" customHeight="1">
      <x:c r="M107" s="36"/>
    </x:row>
    <x:row r="108" ht="15.75" customHeight="1">
      <x:c r="M108" s="36"/>
    </x:row>
    <x:row r="109" ht="15.75" customHeight="1">
      <x:c r="M109" s="36"/>
    </x:row>
    <x:row r="110" ht="15.75" customHeight="1">
      <x:c r="M110" s="36"/>
    </x:row>
    <x:row r="111" ht="15.75" customHeight="1">
      <x:c r="M111" s="36"/>
    </x:row>
    <x:row r="112" ht="15.75" customHeight="1">
      <x:c r="M112" s="36"/>
    </x:row>
    <x:row r="113" ht="15.75" customHeight="1">
      <x:c r="M113" s="36"/>
    </x:row>
    <x:row r="114" ht="15.75" customHeight="1">
      <x:c r="M114" s="36"/>
    </x:row>
    <x:row r="115" ht="15.75" customHeight="1">
      <x:c r="M115" s="36"/>
    </x:row>
    <x:row r="116" ht="15.75" customHeight="1">
      <x:c r="M116" s="36"/>
    </x:row>
    <x:row r="117" ht="15.75" customHeight="1">
      <x:c r="M117" s="36"/>
    </x:row>
    <x:row r="118" ht="15.75" customHeight="1">
      <x:c r="M118" s="36"/>
    </x:row>
    <x:row r="119" ht="15.75" customHeight="1">
      <x:c r="M119" s="36"/>
    </x:row>
    <x:row r="120" ht="15.75" customHeight="1">
      <x:c r="M120" s="36"/>
    </x:row>
    <x:row r="121" ht="15.75" customHeight="1">
      <x:c r="M121" s="36"/>
    </x:row>
    <x:row r="122" ht="15.75" customHeight="1">
      <x:c r="M122" s="36"/>
    </x:row>
    <x:row r="123" ht="15.75" customHeight="1">
      <x:c r="M123" s="36"/>
    </x:row>
    <x:row r="124" ht="15.75" customHeight="1">
      <x:c r="M124" s="36"/>
    </x:row>
    <x:row r="125" ht="15.75" customHeight="1">
      <x:c r="M125" s="36"/>
    </x:row>
    <x:row r="126" ht="15.75" customHeight="1">
      <x:c r="M126" s="36"/>
    </x:row>
    <x:row r="127" ht="15.75" customHeight="1">
      <x:c r="M127" s="36"/>
    </x:row>
    <x:row r="128" ht="15.75" customHeight="1">
      <x:c r="M128" s="36"/>
    </x:row>
    <x:row r="129" ht="15.75" customHeight="1">
      <x:c r="M129" s="36"/>
    </x:row>
    <x:row r="130" ht="15.75" customHeight="1">
      <x:c r="M130" s="36"/>
    </x:row>
    <x:row r="131" ht="15.75" customHeight="1">
      <x:c r="M131" s="36"/>
    </x:row>
    <x:row r="132" ht="15.75" customHeight="1">
      <x:c r="M132" s="36"/>
    </x:row>
    <x:row r="133" ht="15.75" customHeight="1">
      <x:c r="M133" s="36"/>
    </x:row>
    <x:row r="134" ht="15.75" customHeight="1">
      <x:c r="M134" s="36"/>
    </x:row>
    <x:row r="135" ht="15.75" customHeight="1">
      <x:c r="M135" s="36"/>
    </x:row>
    <x:row r="136" ht="15.75" customHeight="1">
      <x:c r="M136" s="36"/>
    </x:row>
    <x:row r="137" ht="15.75" customHeight="1">
      <x:c r="M137" s="36"/>
    </x:row>
    <x:row r="138" ht="15.75" customHeight="1">
      <x:c r="M138" s="36"/>
    </x:row>
    <x:row r="139" ht="15.75" customHeight="1">
      <x:c r="M139" s="36"/>
    </x:row>
    <x:row r="140" ht="15.75" customHeight="1">
      <x:c r="M140" s="36"/>
    </x:row>
    <x:row r="141" ht="15.75" customHeight="1">
      <x:c r="M141" s="36"/>
    </x:row>
    <x:row r="142" ht="15.75" customHeight="1">
      <x:c r="M142" s="36"/>
    </x:row>
    <x:row r="143" ht="15.75" customHeight="1">
      <x:c r="M143" s="36"/>
    </x:row>
    <x:row r="144" ht="15.75" customHeight="1">
      <x:c r="M144" s="36"/>
    </x:row>
    <x:row r="145" ht="15.75" customHeight="1">
      <x:c r="M145" s="36"/>
    </x:row>
    <x:row r="146" ht="15.75" customHeight="1">
      <x:c r="M146" s="36"/>
    </x:row>
    <x:row r="147" ht="15.75" customHeight="1">
      <x:c r="M147" s="36"/>
    </x:row>
    <x:row r="148" ht="15.75" customHeight="1">
      <x:c r="M148" s="36"/>
    </x:row>
    <x:row r="149" ht="15.75" customHeight="1">
      <x:c r="M149" s="36"/>
    </x:row>
    <x:row r="150" ht="15.75" customHeight="1">
      <x:c r="M150" s="36"/>
    </x:row>
    <x:row r="151" ht="15.75" customHeight="1">
      <x:c r="M151" s="36"/>
    </x:row>
    <x:row r="152" ht="15.75" customHeight="1">
      <x:c r="M152" s="36"/>
    </x:row>
    <x:row r="153" ht="15.75" customHeight="1">
      <x:c r="M153" s="36"/>
    </x:row>
    <x:row r="154" ht="15.75" customHeight="1">
      <x:c r="M154" s="36"/>
    </x:row>
    <x:row r="155" ht="15.75" customHeight="1">
      <x:c r="M155" s="36"/>
    </x:row>
    <x:row r="156" ht="15.75" customHeight="1">
      <x:c r="M156" s="36"/>
    </x:row>
    <x:row r="157" ht="15.75" customHeight="1">
      <x:c r="M157" s="36"/>
    </x:row>
    <x:row r="158" ht="15.75" customHeight="1">
      <x:c r="M158" s="36"/>
    </x:row>
    <x:row r="159" ht="15.75" customHeight="1">
      <x:c r="M159" s="36"/>
    </x:row>
    <x:row r="160" ht="15.75" customHeight="1">
      <x:c r="M160" s="36"/>
    </x:row>
    <x:row r="161" ht="15.75" customHeight="1">
      <x:c r="M161" s="36"/>
    </x:row>
    <x:row r="162" ht="15.75" customHeight="1">
      <x:c r="M162" s="36"/>
    </x:row>
    <x:row r="163" ht="15.75" customHeight="1">
      <x:c r="M163" s="36"/>
    </x:row>
    <x:row r="164" ht="15.75" customHeight="1">
      <x:c r="M164" s="36"/>
    </x:row>
    <x:row r="165" ht="15.75" customHeight="1">
      <x:c r="M165" s="36"/>
    </x:row>
    <x:row r="166" ht="15.75" customHeight="1">
      <x:c r="M166" s="36"/>
    </x:row>
    <x:row r="167" ht="15.75" customHeight="1">
      <x:c r="M167" s="36"/>
    </x:row>
    <x:row r="168" ht="15.75" customHeight="1">
      <x:c r="M168" s="36"/>
    </x:row>
    <x:row r="169" ht="15.75" customHeight="1">
      <x:c r="M169" s="36"/>
    </x:row>
    <x:row r="170" ht="15.75" customHeight="1">
      <x:c r="M170" s="36"/>
    </x:row>
    <x:row r="171" ht="15.75" customHeight="1">
      <x:c r="M171" s="36"/>
    </x:row>
    <x:row r="172" ht="15.75" customHeight="1">
      <x:c r="M172" s="36"/>
    </x:row>
    <x:row r="173" ht="15.75" customHeight="1">
      <x:c r="M173" s="36"/>
    </x:row>
    <x:row r="174" ht="15.75" customHeight="1">
      <x:c r="M174" s="36"/>
    </x:row>
    <x:row r="175" ht="15.75" customHeight="1">
      <x:c r="M175" s="36"/>
    </x:row>
    <x:row r="176" ht="15.75" customHeight="1">
      <x:c r="M176" s="36"/>
    </x:row>
    <x:row r="177" ht="15.75" customHeight="1">
      <x:c r="M177" s="36"/>
    </x:row>
    <x:row r="178" ht="15.75" customHeight="1">
      <x:c r="M178" s="36"/>
    </x:row>
    <x:row r="179" ht="15.75" customHeight="1">
      <x:c r="M179" s="36"/>
    </x:row>
    <x:row r="180" ht="15.75" customHeight="1">
      <x:c r="M180" s="36"/>
    </x:row>
    <x:row r="181" ht="15.75" customHeight="1">
      <x:c r="M181" s="36"/>
    </x:row>
    <x:row r="182" ht="15.75" customHeight="1">
      <x:c r="M182" s="36"/>
    </x:row>
    <x:row r="183" ht="15.75" customHeight="1">
      <x:c r="M183" s="36"/>
    </x:row>
    <x:row r="184" ht="15.75" customHeight="1">
      <x:c r="M184" s="36"/>
    </x:row>
    <x:row r="185" ht="15.75" customHeight="1">
      <x:c r="M185" s="36"/>
    </x:row>
    <x:row r="186" ht="15.75" customHeight="1">
      <x:c r="M186" s="36"/>
    </x:row>
    <x:row r="187" ht="15.75" customHeight="1">
      <x:c r="M187" s="36"/>
    </x:row>
    <x:row r="188" ht="15.75" customHeight="1">
      <x:c r="M188" s="36"/>
    </x:row>
    <x:row r="189" ht="15.75" customHeight="1">
      <x:c r="M189" s="36"/>
    </x:row>
    <x:row r="190" ht="15.75" customHeight="1">
      <x:c r="M190" s="36"/>
    </x:row>
    <x:row r="191" ht="15.75" customHeight="1">
      <x:c r="M191" s="36"/>
    </x:row>
    <x:row r="192" ht="15.75" customHeight="1">
      <x:c r="M192" s="36"/>
    </x:row>
    <x:row r="193" ht="15.75" customHeight="1">
      <x:c r="M193" s="36"/>
    </x:row>
    <x:row r="194" ht="15.75" customHeight="1">
      <x:c r="M194" s="36"/>
    </x:row>
    <x:row r="195" ht="15.75" customHeight="1">
      <x:c r="M195" s="36"/>
    </x:row>
    <x:row r="196" ht="15.75" customHeight="1">
      <x:c r="M196" s="36"/>
    </x:row>
    <x:row r="197" ht="15.75" customHeight="1">
      <x:c r="M197" s="36"/>
    </x:row>
    <x:row r="198" ht="15.75" customHeight="1">
      <x:c r="M198" s="36"/>
    </x:row>
    <x:row r="199" ht="15.75" customHeight="1">
      <x:c r="M199" s="36"/>
    </x:row>
    <x:row r="200" ht="15.75" customHeight="1">
      <x:c r="M200" s="36"/>
    </x:row>
    <x:row r="201" ht="15.75" customHeight="1">
      <x:c r="M201" s="36"/>
    </x:row>
    <x:row r="202" ht="15.75" customHeight="1">
      <x:c r="M202" s="36"/>
    </x:row>
    <x:row r="203" ht="15.75" customHeight="1">
      <x:c r="M203" s="36"/>
    </x:row>
    <x:row r="204" ht="15.75" customHeight="1">
      <x:c r="M204" s="36"/>
    </x:row>
    <x:row r="205" ht="15.75" customHeight="1">
      <x:c r="M205" s="36"/>
    </x:row>
    <x:row r="206" ht="15.75" customHeight="1">
      <x:c r="M206" s="36"/>
    </x:row>
    <x:row r="207" ht="15.75" customHeight="1">
      <x:c r="M207" s="36"/>
    </x:row>
    <x:row r="208" ht="15.75" customHeight="1">
      <x:c r="M208" s="36"/>
    </x:row>
    <x:row r="209" ht="15.75" customHeight="1">
      <x:c r="M209" s="36"/>
    </x:row>
    <x:row r="210" ht="15.75" customHeight="1">
      <x:c r="M210" s="36"/>
    </x:row>
    <x:row r="211" ht="15.75" customHeight="1">
      <x:c r="M211" s="36"/>
    </x:row>
    <x:row r="212" ht="15.75" customHeight="1">
      <x:c r="M212" s="36"/>
    </x:row>
    <x:row r="213" ht="15.75" customHeight="1">
      <x:c r="M213" s="36"/>
    </x:row>
    <x:row r="214" ht="15.75" customHeight="1">
      <x:c r="M214" s="36"/>
    </x:row>
    <x:row r="215" ht="15.75" customHeight="1">
      <x:c r="M215" s="36"/>
    </x:row>
    <x:row r="216" ht="15.75" customHeight="1">
      <x:c r="M216" s="36"/>
    </x:row>
    <x:row r="217" ht="15.75" customHeight="1">
      <x:c r="M217" s="36"/>
    </x:row>
    <x:row r="218" ht="15.75" customHeight="1">
      <x:c r="M218" s="36"/>
    </x:row>
    <x:row r="219" ht="15.75" customHeight="1">
      <x:c r="M219" s="36"/>
    </x:row>
    <x:row r="220" ht="15.75" customHeight="1">
      <x:c r="M220" s="36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5:L15"/>
    <x:mergeCell ref="G16:L16"/>
    <x:mergeCell ref="B2:G2"/>
    <x:mergeCell ref="I2:M2"/>
    <x:mergeCell ref="B4:M4"/>
    <x:mergeCell ref="G5:L5"/>
    <x:mergeCell ref="B6:H6"/>
    <x:mergeCell ref="G7:L7"/>
    <x:mergeCell ref="G8:L8"/>
    <x:mergeCell ref="G9:L9"/>
    <x:mergeCell ref="G10:L10"/>
    <x:mergeCell ref="B12:H12"/>
    <x:mergeCell ref="G13:L13"/>
    <x:mergeCell ref="G14:L14"/>
  </x:mergeCells>
  <x:conditionalFormatting sqref="G21:G25 G19:G19">
    <x:cfRule type="colorScale" priority="1">
      <x:colorScale>
        <x:cfvo type="min"/>
        <x:cfvo type="max"/>
        <x:color rgb="FFFFFFFF"/>
        <x:color rgb="FF57BB8A"/>
      </x:colorScale>
    </x:cfRule>
  </x:conditionalFormatting>
  <x:conditionalFormatting sqref="G21:G25 G19:G19">
    <x:cfRule type="colorScale" priority="2">
      <x:colorScale>
        <x:cfvo type="min"/>
        <x:cfvo type="max"/>
        <x:color rgb="FF57BB8A"/>
        <x:color rgb="FFFFFFFF"/>
      </x:colorScale>
    </x:cfRule>
  </x:conditionalFormatting>
  <x:dataValidations count="2">
    <x:dataValidation type="list" allowBlank="1" sqref="C7:C10 C13:C16">
      <x:formula1>$R$3:$R$6</x:formula1>
    </x:dataValidation>
    <x:dataValidation type="list" allowBlank="1" sqref="B7:B10 B13:B16">
      <x:formula1>$P$3:$P$8</x:formula1>
    </x:dataValidation>
  </x:dataValidations>
  <x:pageMargins left="0.7" right="0.7" top="0.75" bottom="0.75" header="0.3" footer="0.3"/>
</x:worksheet>
</file>